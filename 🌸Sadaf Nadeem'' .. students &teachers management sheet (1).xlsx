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Teachers" sheetId="2" r:id="rId6"/>
    <sheet state="visible" name="Attendance" sheetId="3" r:id="rId7"/>
    <sheet state="visible" name="Fees" sheetId="4" r:id="rId8"/>
    <sheet state="visible" name="dashboard " sheetId="5" r:id="rId9"/>
  </sheets>
  <definedNames/>
  <calcPr/>
  <pivotCaches>
    <pivotCache cacheId="0" r:id="rId10"/>
    <pivotCache cacheId="1" r:id="rId11"/>
    <pivotCache cacheId="2" r:id="rId12"/>
    <pivotCache cacheId="3" r:id="rId13"/>
  </pivotCaches>
</workbook>
</file>

<file path=xl/sharedStrings.xml><?xml version="1.0" encoding="utf-8"?>
<sst xmlns="http://schemas.openxmlformats.org/spreadsheetml/2006/main" count="1734" uniqueCount="645">
  <si>
    <t>STUDENTS RECORDS</t>
  </si>
  <si>
    <t>s,no</t>
  </si>
  <si>
    <t>Student ID</t>
  </si>
  <si>
    <t>Student Name</t>
  </si>
  <si>
    <t>Father Name</t>
  </si>
  <si>
    <t>Class</t>
  </si>
  <si>
    <t>Section</t>
  </si>
  <si>
    <t>Roll No</t>
  </si>
  <si>
    <t>Total Classes</t>
  </si>
  <si>
    <t>Present Days</t>
  </si>
  <si>
    <t>Attendance %</t>
  </si>
  <si>
    <t>Eligibility</t>
  </si>
  <si>
    <t>Contact</t>
  </si>
  <si>
    <t>Address</t>
  </si>
  <si>
    <t>Fee Amount</t>
  </si>
  <si>
    <t>Paid Amount</t>
  </si>
  <si>
    <t>Pending</t>
  </si>
  <si>
    <t>Fee Status</t>
  </si>
  <si>
    <t>Admission Date</t>
  </si>
  <si>
    <t>COUNTA of Fee Status</t>
  </si>
  <si>
    <t>ST001</t>
  </si>
  <si>
    <t>Abdullah</t>
  </si>
  <si>
    <t>Muhammad Aslam</t>
  </si>
  <si>
    <t>Class 3</t>
  </si>
  <si>
    <t>A</t>
  </si>
  <si>
    <t>0300-1000001</t>
  </si>
  <si>
    <t>Gulshan-e-Iqbal, Karachi</t>
  </si>
  <si>
    <t>ST001 Total</t>
  </si>
  <si>
    <t>ST002</t>
  </si>
  <si>
    <t>Adnan</t>
  </si>
  <si>
    <t>Muhammad Iqbal</t>
  </si>
  <si>
    <t>Class 8</t>
  </si>
  <si>
    <t>C</t>
  </si>
  <si>
    <t>0300-1000002</t>
  </si>
  <si>
    <t>Liaquatabad, Karachi</t>
  </si>
  <si>
    <t>ST002 Total</t>
  </si>
  <si>
    <t>ST003</t>
  </si>
  <si>
    <t>Ahmed</t>
  </si>
  <si>
    <t>Abdul Rehman</t>
  </si>
  <si>
    <t>Class 1</t>
  </si>
  <si>
    <t>B</t>
  </si>
  <si>
    <t>0300-1000003</t>
  </si>
  <si>
    <t>Nazimabad, Karachi</t>
  </si>
  <si>
    <t>ST003 Total</t>
  </si>
  <si>
    <t>ST004</t>
  </si>
  <si>
    <t>Aleena</t>
  </si>
  <si>
    <t>Muhammad Yousaf</t>
  </si>
  <si>
    <t>Class 10</t>
  </si>
  <si>
    <t>D</t>
  </si>
  <si>
    <t>0300-1000004</t>
  </si>
  <si>
    <t>Malir, Karachi</t>
  </si>
  <si>
    <t>ST004 Total</t>
  </si>
  <si>
    <t>ST005</t>
  </si>
  <si>
    <t>Ali</t>
  </si>
  <si>
    <t>Khalid Mehmood</t>
  </si>
  <si>
    <t>Class 5</t>
  </si>
  <si>
    <t>0300-1000005</t>
  </si>
  <si>
    <t>Korangi, Karachi</t>
  </si>
  <si>
    <t>ST005 Total</t>
  </si>
  <si>
    <t>ST006</t>
  </si>
  <si>
    <t>Alina</t>
  </si>
  <si>
    <t>Muhammad Arshad</t>
  </si>
  <si>
    <t>Class 2</t>
  </si>
  <si>
    <t>0300-1000006</t>
  </si>
  <si>
    <t>Clifton, Karachi</t>
  </si>
  <si>
    <t>ST006 Total</t>
  </si>
  <si>
    <t>ST007</t>
  </si>
  <si>
    <t>Amna</t>
  </si>
  <si>
    <t>Rashid Ahmed</t>
  </si>
  <si>
    <t>Class 7</t>
  </si>
  <si>
    <t>0300-1000007</t>
  </si>
  <si>
    <t>Saddar, Karachi</t>
  </si>
  <si>
    <t>ST007 Total</t>
  </si>
  <si>
    <t>ST008</t>
  </si>
  <si>
    <t>Anaya</t>
  </si>
  <si>
    <t>Muhammad Akram</t>
  </si>
  <si>
    <t>Class 9</t>
  </si>
  <si>
    <t>0300-1000008</t>
  </si>
  <si>
    <t>North Karachi, Karachi</t>
  </si>
  <si>
    <t>ST008 Total</t>
  </si>
  <si>
    <t>ST009</t>
  </si>
  <si>
    <t>Areeba</t>
  </si>
  <si>
    <t>Javed Iqbal</t>
  </si>
  <si>
    <t>Class 4</t>
  </si>
  <si>
    <t>0300-1000009</t>
  </si>
  <si>
    <t>Orangi Town, Karachi</t>
  </si>
  <si>
    <t>ST009 Total</t>
  </si>
  <si>
    <t>ST010</t>
  </si>
  <si>
    <t>Arslan</t>
  </si>
  <si>
    <t>Muhammad Naveed</t>
  </si>
  <si>
    <t>Class 6</t>
  </si>
  <si>
    <t>0300-1000010</t>
  </si>
  <si>
    <t>Federal B Area, Karachi</t>
  </si>
  <si>
    <t>ST010 Total</t>
  </si>
  <si>
    <t>ST011</t>
  </si>
  <si>
    <t>Asad</t>
  </si>
  <si>
    <t>Tariq Mehmood</t>
  </si>
  <si>
    <t>0300-1000011</t>
  </si>
  <si>
    <t>Gulistan-e-Johar, Karachi</t>
  </si>
  <si>
    <t>ST011 Total</t>
  </si>
  <si>
    <t>ST012</t>
  </si>
  <si>
    <t>Ayaan</t>
  </si>
  <si>
    <t>Muhammad Saleem</t>
  </si>
  <si>
    <t>0300-1000012</t>
  </si>
  <si>
    <t>Defence, Karachi</t>
  </si>
  <si>
    <t>ST012 Total</t>
  </si>
  <si>
    <t>ST013</t>
  </si>
  <si>
    <t>Ayesha</t>
  </si>
  <si>
    <t>Abdul Qadir</t>
  </si>
  <si>
    <t>0300-1000013</t>
  </si>
  <si>
    <t>Shah Faisal Colony, Karachi</t>
  </si>
  <si>
    <t>ST013 Total</t>
  </si>
  <si>
    <t>ST014</t>
  </si>
  <si>
    <t>Bilal</t>
  </si>
  <si>
    <t>Muhammad Hanif</t>
  </si>
  <si>
    <t>0300-1000014</t>
  </si>
  <si>
    <t>Landhi, Karachi</t>
  </si>
  <si>
    <t>ST014 Total</t>
  </si>
  <si>
    <t>ST015</t>
  </si>
  <si>
    <t>Daniyal</t>
  </si>
  <si>
    <t>Ghulam Mustafa</t>
  </si>
  <si>
    <t>0300-1000015</t>
  </si>
  <si>
    <t>Baldia Town, Karachi</t>
  </si>
  <si>
    <t>ST015 Total</t>
  </si>
  <si>
    <t>ST016</t>
  </si>
  <si>
    <t>Dua</t>
  </si>
  <si>
    <t>Muhammad Ashraf</t>
  </si>
  <si>
    <t>0300-1000016</t>
  </si>
  <si>
    <t>Scheme 33, Karachi</t>
  </si>
  <si>
    <t>ST016 Total</t>
  </si>
  <si>
    <t>ST017</t>
  </si>
  <si>
    <t>Eman</t>
  </si>
  <si>
    <t>Muhammad Shafiq</t>
  </si>
  <si>
    <t>0300-1000017</t>
  </si>
  <si>
    <t>Buffer Zone, Karachi</t>
  </si>
  <si>
    <t>ST017 Total</t>
  </si>
  <si>
    <t>ST018</t>
  </si>
  <si>
    <t>Fahad</t>
  </si>
  <si>
    <t>Bashir Ahmed</t>
  </si>
  <si>
    <t>0300-1000018</t>
  </si>
  <si>
    <t>SITE Area, Karachi</t>
  </si>
  <si>
    <t>ST018 Total</t>
  </si>
  <si>
    <t>ST019</t>
  </si>
  <si>
    <t>Faizan</t>
  </si>
  <si>
    <t>Muhammad Riaz</t>
  </si>
  <si>
    <t>0300-1000019</t>
  </si>
  <si>
    <t>PECHS, Karachi</t>
  </si>
  <si>
    <t>ST019 Total</t>
  </si>
  <si>
    <t>ST020</t>
  </si>
  <si>
    <t>Fatima</t>
  </si>
  <si>
    <t>Abdul Hameed</t>
  </si>
  <si>
    <t>0300-1000020</t>
  </si>
  <si>
    <t>DHA Phase 2, Karachi</t>
  </si>
  <si>
    <t>ST020 Total</t>
  </si>
  <si>
    <t>ST021</t>
  </si>
  <si>
    <t>Hafsa</t>
  </si>
  <si>
    <t>Muhammad Farooq</t>
  </si>
  <si>
    <t>0300-1000021</t>
  </si>
  <si>
    <t>DHA Phase 4, Karachi</t>
  </si>
  <si>
    <t>ST021 Total</t>
  </si>
  <si>
    <t>ST022</t>
  </si>
  <si>
    <t>Hamza</t>
  </si>
  <si>
    <t>Muhammad Jamil</t>
  </si>
  <si>
    <t>0300-1000022</t>
  </si>
  <si>
    <t>Clifton Block 5, Karachi</t>
  </si>
  <si>
    <t>ST022 Total</t>
  </si>
  <si>
    <t>ST023</t>
  </si>
  <si>
    <t>Hania</t>
  </si>
  <si>
    <t>Shahid Iqbal</t>
  </si>
  <si>
    <t>0300-1000023</t>
  </si>
  <si>
    <t>Gulshan Block 13, Karachi</t>
  </si>
  <si>
    <t>ST023 Total</t>
  </si>
  <si>
    <t>ST024</t>
  </si>
  <si>
    <t>Haris</t>
  </si>
  <si>
    <t>Muhammad Nadeem</t>
  </si>
  <si>
    <t>0300-1000024</t>
  </si>
  <si>
    <t>Malir Cantt, Karachi</t>
  </si>
  <si>
    <t>ST024 Total</t>
  </si>
  <si>
    <t>ST025</t>
  </si>
  <si>
    <t>Hassan</t>
  </si>
  <si>
    <t>Muhammad Anwar</t>
  </si>
  <si>
    <t>0300-1000025</t>
  </si>
  <si>
    <t>Korangi Industrial Area, Karachi</t>
  </si>
  <si>
    <t>ST025 Total</t>
  </si>
  <si>
    <t>ST026</t>
  </si>
  <si>
    <t>Hira</t>
  </si>
  <si>
    <t>Asif Mehmood</t>
  </si>
  <si>
    <t>0300-1000026</t>
  </si>
  <si>
    <t>Nazimabad Block 1, Karachi</t>
  </si>
  <si>
    <t>ST026 Total</t>
  </si>
  <si>
    <t>ST027</t>
  </si>
  <si>
    <t>Imran</t>
  </si>
  <si>
    <t>Muhammad Sarwar</t>
  </si>
  <si>
    <t>0300-1000027</t>
  </si>
  <si>
    <t>Nazimabad Block 3, Karachi</t>
  </si>
  <si>
    <t>ST027 Total</t>
  </si>
  <si>
    <t>ST028</t>
  </si>
  <si>
    <t>Iqra</t>
  </si>
  <si>
    <t>Muhammad Sajid</t>
  </si>
  <si>
    <t>0300-1000028</t>
  </si>
  <si>
    <t>Gulshan Block 4, Karachi</t>
  </si>
  <si>
    <t>ST028 Total</t>
  </si>
  <si>
    <t>ST029</t>
  </si>
  <si>
    <t>Junaid</t>
  </si>
  <si>
    <t>Liaqat Ali</t>
  </si>
  <si>
    <t>0300-1000029</t>
  </si>
  <si>
    <t>Gulshan Block 7, Karachi</t>
  </si>
  <si>
    <t>ST029 Total</t>
  </si>
  <si>
    <t>ST030</t>
  </si>
  <si>
    <t>Khadija</t>
  </si>
  <si>
    <t>Muhammad Latif</t>
  </si>
  <si>
    <t>0300-1000030</t>
  </si>
  <si>
    <t>North Nazimabad, Karachi</t>
  </si>
  <si>
    <t>ST030 Total</t>
  </si>
  <si>
    <t>ST031</t>
  </si>
  <si>
    <t>Kinza</t>
  </si>
  <si>
    <t>Muhammad Ishaq</t>
  </si>
  <si>
    <t>0300-1000031</t>
  </si>
  <si>
    <t>Orangi Sector 11, Karachi</t>
  </si>
  <si>
    <t>ST031 Total</t>
  </si>
  <si>
    <t>ST032</t>
  </si>
  <si>
    <t>Laiba</t>
  </si>
  <si>
    <t>Abdul Sattar</t>
  </si>
  <si>
    <t>0300-1000032</t>
  </si>
  <si>
    <t>Orangi Sector 15, Karachi</t>
  </si>
  <si>
    <t>ST032 Total</t>
  </si>
  <si>
    <t>ST033</t>
  </si>
  <si>
    <t>Maham</t>
  </si>
  <si>
    <t>Muhammad Bashir</t>
  </si>
  <si>
    <t>0300-1000033</t>
  </si>
  <si>
    <t>Baldia Sector 4, Karachi</t>
  </si>
  <si>
    <t>ST033 Total</t>
  </si>
  <si>
    <t>ST034</t>
  </si>
  <si>
    <t>Maryam</t>
  </si>
  <si>
    <t>Muhammad Rafiq</t>
  </si>
  <si>
    <t>0300-1000034</t>
  </si>
  <si>
    <t>Landhi Sector 6, Karachi</t>
  </si>
  <si>
    <t>ST034 Total</t>
  </si>
  <si>
    <t>ST035</t>
  </si>
  <si>
    <t>Mehak</t>
  </si>
  <si>
    <t>Muhammad Idrees</t>
  </si>
  <si>
    <t>0300-1000035</t>
  </si>
  <si>
    <t>Korangi Sector 33, Karachi</t>
  </si>
  <si>
    <t>ST035 Total</t>
  </si>
  <si>
    <t>ST036</t>
  </si>
  <si>
    <t>Minahil</t>
  </si>
  <si>
    <t>Muhammad Yaqoob</t>
  </si>
  <si>
    <t>0300-1000036</t>
  </si>
  <si>
    <t>Gulistan-e-Johar Block 2, Karachi</t>
  </si>
  <si>
    <t>ST036 Total</t>
  </si>
  <si>
    <t>ST037</t>
  </si>
  <si>
    <t>Mustafa</t>
  </si>
  <si>
    <t>Ghulam Rasool</t>
  </si>
  <si>
    <t>0300-1000037</t>
  </si>
  <si>
    <t>Gulistan-e-Johar Block 7, Karachi</t>
  </si>
  <si>
    <t>ST037 Total</t>
  </si>
  <si>
    <t>ST038</t>
  </si>
  <si>
    <t>Nimra</t>
  </si>
  <si>
    <t>Muhammad Nawaz</t>
  </si>
  <si>
    <t>0300-1000038</t>
  </si>
  <si>
    <t>Scheme 33 Sector 15, Karachi</t>
  </si>
  <si>
    <t>ST038 Total</t>
  </si>
  <si>
    <t>ST039</t>
  </si>
  <si>
    <t>Noor</t>
  </si>
  <si>
    <t>Muhammad Rauf</t>
  </si>
  <si>
    <t>0300-1000039</t>
  </si>
  <si>
    <t>Buffer Zone Sector 16, Karachi</t>
  </si>
  <si>
    <t>ST039 Total</t>
  </si>
  <si>
    <t>ST040</t>
  </si>
  <si>
    <t>Rabia</t>
  </si>
  <si>
    <t>Muhammad Afzal</t>
  </si>
  <si>
    <t>0300-1000040</t>
  </si>
  <si>
    <t>Saddar Area, Karachi</t>
  </si>
  <si>
    <t>ST040 Total</t>
  </si>
  <si>
    <t>ST041</t>
  </si>
  <si>
    <t>Rayyan</t>
  </si>
  <si>
    <t>Muhammad Shabbir</t>
  </si>
  <si>
    <t>0300-1000041</t>
  </si>
  <si>
    <t>Clifton Block 7, Karachi</t>
  </si>
  <si>
    <t>ST041 Total</t>
  </si>
  <si>
    <t>ST042</t>
  </si>
  <si>
    <t>Rizwan</t>
  </si>
  <si>
    <t>Muhammad Munir</t>
  </si>
  <si>
    <t>0300-1000042</t>
  </si>
  <si>
    <t>Clifton Block 8, Karachi</t>
  </si>
  <si>
    <t>ST042 Total</t>
  </si>
  <si>
    <t>ST043</t>
  </si>
  <si>
    <t>Saad</t>
  </si>
  <si>
    <t>Muhammad Ilyas</t>
  </si>
  <si>
    <t>0300-1000043</t>
  </si>
  <si>
    <t>DHA Phase 6, Karachi</t>
  </si>
  <si>
    <t>ST043 Total</t>
  </si>
  <si>
    <t>ST044</t>
  </si>
  <si>
    <t>Saba</t>
  </si>
  <si>
    <t>Muhammad Zafar</t>
  </si>
  <si>
    <t>0300-1000044</t>
  </si>
  <si>
    <t>DHA Phase 8, Karachi</t>
  </si>
  <si>
    <t>ST044 Total</t>
  </si>
  <si>
    <t>ST045</t>
  </si>
  <si>
    <t>Salman</t>
  </si>
  <si>
    <t>Muhammad Arif</t>
  </si>
  <si>
    <t>0300-1000045</t>
  </si>
  <si>
    <t>Malir Halt, Karachi</t>
  </si>
  <si>
    <t>ST045 Total</t>
  </si>
  <si>
    <t>ST046</t>
  </si>
  <si>
    <t>Sana</t>
  </si>
  <si>
    <t>Muhammad Nazir</t>
  </si>
  <si>
    <t>0300-1000046</t>
  </si>
  <si>
    <t>Malir Model Colony, Karachi</t>
  </si>
  <si>
    <t>ST046 Total</t>
  </si>
  <si>
    <t>ST047</t>
  </si>
  <si>
    <t>Shahzaib</t>
  </si>
  <si>
    <t>Muhammad Siddique</t>
  </si>
  <si>
    <t>0300-1000047</t>
  </si>
  <si>
    <t>Korangi Crossing, Karachi</t>
  </si>
  <si>
    <t>ST047 Total</t>
  </si>
  <si>
    <t>ST048</t>
  </si>
  <si>
    <t>Taha</t>
  </si>
  <si>
    <t>Muhammad Tariq</t>
  </si>
  <si>
    <t>0300-1000048</t>
  </si>
  <si>
    <t>Landhi Colony, Karachi</t>
  </si>
  <si>
    <t>ST048 Total</t>
  </si>
  <si>
    <t>ST049</t>
  </si>
  <si>
    <t>Talha</t>
  </si>
  <si>
    <t>Muhammad Ameen</t>
  </si>
  <si>
    <t>0300-1000049</t>
  </si>
  <si>
    <t>Gulshan-e-Maymar, Karachi</t>
  </si>
  <si>
    <t>ST049 Total</t>
  </si>
  <si>
    <t>ST050</t>
  </si>
  <si>
    <t>Umar</t>
  </si>
  <si>
    <t>Muhammad Ayub</t>
  </si>
  <si>
    <t>0300-1000050</t>
  </si>
  <si>
    <t>Surjani Town, Karachi</t>
  </si>
  <si>
    <t>ST050 Total</t>
  </si>
  <si>
    <t>ST051</t>
  </si>
  <si>
    <t>Usman</t>
  </si>
  <si>
    <t>Muhammad Ramzan</t>
  </si>
  <si>
    <t>0300-1000051</t>
  </si>
  <si>
    <t>New Karachi Sector 5, Karachi</t>
  </si>
  <si>
    <t>ST051 Total</t>
  </si>
  <si>
    <t>ST052</t>
  </si>
  <si>
    <t>Waqas</t>
  </si>
  <si>
    <t>Muhammad Yasin</t>
  </si>
  <si>
    <t>0300-1000052</t>
  </si>
  <si>
    <t>New Karachi Sector 11, Karachi</t>
  </si>
  <si>
    <t>ST052 Total</t>
  </si>
  <si>
    <t>ST053</t>
  </si>
  <si>
    <t>Zain</t>
  </si>
  <si>
    <t>Muhammad Mushtaq</t>
  </si>
  <si>
    <t>0300-1000053</t>
  </si>
  <si>
    <t>Nazimabad Block 5, Karachi</t>
  </si>
  <si>
    <t>ST053 Total</t>
  </si>
  <si>
    <t>ST054</t>
  </si>
  <si>
    <t>Zainab</t>
  </si>
  <si>
    <t>Muhammad Ismail</t>
  </si>
  <si>
    <t>0300-1000054</t>
  </si>
  <si>
    <t>Gulshan Block 2, Karachi</t>
  </si>
  <si>
    <t>ST054 Total</t>
  </si>
  <si>
    <t>ST055</t>
  </si>
  <si>
    <t>Zara</t>
  </si>
  <si>
    <t>Muhammad Shakeel</t>
  </si>
  <si>
    <t>0300-1000055</t>
  </si>
  <si>
    <t>Orangi Town Sector 8, Karachi</t>
  </si>
  <si>
    <t>ST055 Total</t>
  </si>
  <si>
    <t>Grand Total</t>
  </si>
  <si>
    <t>TEACHERS RECORDS</t>
  </si>
  <si>
    <t>S.No</t>
  </si>
  <si>
    <t>Teacher Name</t>
  </si>
  <si>
    <t>Subject</t>
  </si>
  <si>
    <t>Qualification</t>
  </si>
  <si>
    <t>Joining Date</t>
  </si>
  <si>
    <t>Monthly Salary</t>
  </si>
  <si>
    <t>Status</t>
  </si>
  <si>
    <t>SUM of Monthly Salary</t>
  </si>
  <si>
    <t>COUNTA of Teacher Name</t>
  </si>
  <si>
    <t>COUNTA of Contact</t>
  </si>
  <si>
    <t>Miss Aiman Sheikh</t>
  </si>
  <si>
    <t>Punjabi</t>
  </si>
  <si>
    <t>MA</t>
  </si>
  <si>
    <t>Absent</t>
  </si>
  <si>
    <t>0338-5471919</t>
  </si>
  <si>
    <t>Miss Aiman Sheikh Total</t>
  </si>
  <si>
    <t>Miss Aleena Shah</t>
  </si>
  <si>
    <t>Spoken English</t>
  </si>
  <si>
    <t>Leave</t>
  </si>
  <si>
    <t>0309-9631196</t>
  </si>
  <si>
    <t>Miss Aleena Shah Total</t>
  </si>
  <si>
    <t>Miss Alina Yousaf</t>
  </si>
  <si>
    <t>Software Engineering</t>
  </si>
  <si>
    <t>BS</t>
  </si>
  <si>
    <t>Present</t>
  </si>
  <si>
    <t>0340-8779007</t>
  </si>
  <si>
    <t>Miss Alina Yousaf Total</t>
  </si>
  <si>
    <t>Miss Anum Zahra</t>
  </si>
  <si>
    <t>Organic Chemistry</t>
  </si>
  <si>
    <t>BA</t>
  </si>
  <si>
    <t>0339-2494877</t>
  </si>
  <si>
    <t>Miss Anum Zahra Total</t>
  </si>
  <si>
    <t>Miss Ayesha Iqbal</t>
  </si>
  <si>
    <t>Mathematics</t>
  </si>
  <si>
    <t>MSc</t>
  </si>
  <si>
    <t>0340-6749420</t>
  </si>
  <si>
    <t>Miss Ayesha Iqbal Total</t>
  </si>
  <si>
    <t>Miss Dua Arif</t>
  </si>
  <si>
    <t>Geometry</t>
  </si>
  <si>
    <t>MEd</t>
  </si>
  <si>
    <t>0330-8469767</t>
  </si>
  <si>
    <t>Miss Dua Arif Total</t>
  </si>
  <si>
    <t>Miss Eman Raza</t>
  </si>
  <si>
    <t>Literature</t>
  </si>
  <si>
    <t>0315-7010974</t>
  </si>
  <si>
    <t>Miss Eman Raza Total</t>
  </si>
  <si>
    <t>Miss Fatima Saeed</t>
  </si>
  <si>
    <t>Chemistry</t>
  </si>
  <si>
    <t>0341-9793751</t>
  </si>
  <si>
    <t>Miss Fatima Saeed Total</t>
  </si>
  <si>
    <t>Miss Hina Mehmood</t>
  </si>
  <si>
    <t>Accounting</t>
  </si>
  <si>
    <t>MPhil</t>
  </si>
  <si>
    <t>0311-3941491</t>
  </si>
  <si>
    <t>Miss Hina Mehmood Total</t>
  </si>
  <si>
    <t>Miss Hira Shah</t>
  </si>
  <si>
    <t>Computer Science</t>
  </si>
  <si>
    <t>0326-4418565</t>
  </si>
  <si>
    <t>Miss Hira Shah Total</t>
  </si>
  <si>
    <t>Miss Kinza Javed</t>
  </si>
  <si>
    <t>Statistics</t>
  </si>
  <si>
    <t>MCom</t>
  </si>
  <si>
    <t>0325-8631431</t>
  </si>
  <si>
    <t>Miss Kinza Javed Total</t>
  </si>
  <si>
    <t>Miss Komal Ali</t>
  </si>
  <si>
    <t>Health &amp; Hygiene</t>
  </si>
  <si>
    <t>PhD</t>
  </si>
  <si>
    <t>0332-1465432</t>
  </si>
  <si>
    <t>Miss Komal Ali Total</t>
  </si>
  <si>
    <t>Miss Laiba Rehman</t>
  </si>
  <si>
    <t>Education</t>
  </si>
  <si>
    <t>0311-1171561</t>
  </si>
  <si>
    <t>Miss Laiba Rehman Total</t>
  </si>
  <si>
    <t>Miss Mahnoor Saeed</t>
  </si>
  <si>
    <t>Information Technology</t>
  </si>
  <si>
    <t>0304-7920666</t>
  </si>
  <si>
    <t>Miss Mahnoor Saeed Total</t>
  </si>
  <si>
    <t>Miss Maryam Raza</t>
  </si>
  <si>
    <t>General Science</t>
  </si>
  <si>
    <t>BSc</t>
  </si>
  <si>
    <t>0321-1243482</t>
  </si>
  <si>
    <t>Miss Maryam Raza Total</t>
  </si>
  <si>
    <t>Miss Nimra Khan</t>
  </si>
  <si>
    <t>Sociology</t>
  </si>
  <si>
    <t>MBA</t>
  </si>
  <si>
    <t>0301-2841653</t>
  </si>
  <si>
    <t>Miss Nimra Khan Total</t>
  </si>
  <si>
    <t>Miss Noor Bibi</t>
  </si>
  <si>
    <t>Moral Science</t>
  </si>
  <si>
    <t>MS</t>
  </si>
  <si>
    <t>0345-9180875</t>
  </si>
  <si>
    <t>Miss Noor Bibi Total</t>
  </si>
  <si>
    <t>Miss Rabia Mehmood</t>
  </si>
  <si>
    <t>Islamic Studies</t>
  </si>
  <si>
    <t>0303-3609630</t>
  </si>
  <si>
    <t>Miss Rabia Mehmood Total</t>
  </si>
  <si>
    <t>Miss Rida Raza</t>
  </si>
  <si>
    <t>Physics</t>
  </si>
  <si>
    <t>Diploma</t>
  </si>
  <si>
    <t>0325-2503311</t>
  </si>
  <si>
    <t>Miss Rida Raza Total</t>
  </si>
  <si>
    <t>Miss Saba Malik</t>
  </si>
  <si>
    <t>Web Development</t>
  </si>
  <si>
    <t>0313-1983983</t>
  </si>
  <si>
    <t>Miss Saba Malik Total</t>
  </si>
  <si>
    <t>Miss Sadaf Khan</t>
  </si>
  <si>
    <t>Library Science</t>
  </si>
  <si>
    <t>0338-4903818</t>
  </si>
  <si>
    <t>Miss Sadaf Khan Total</t>
  </si>
  <si>
    <t>Miss Sana Iqbal</t>
  </si>
  <si>
    <t>Geography</t>
  </si>
  <si>
    <t>0323-8777161</t>
  </si>
  <si>
    <t>Miss Sana Iqbal Total</t>
  </si>
  <si>
    <t>Miss Sara Khan</t>
  </si>
  <si>
    <t>Quran Studies</t>
  </si>
  <si>
    <t>0323-3583589</t>
  </si>
  <si>
    <t>Miss Sara Khan Total</t>
  </si>
  <si>
    <t>Miss Yusra Noor</t>
  </si>
  <si>
    <t>Biology</t>
  </si>
  <si>
    <t>0331-6334608</t>
  </si>
  <si>
    <t>Miss Yusra Noor Total</t>
  </si>
  <si>
    <t>Miss Zainab Khan</t>
  </si>
  <si>
    <t>Islamiat</t>
  </si>
  <si>
    <t>0315-4372523</t>
  </si>
  <si>
    <t>Miss Zainab Khan Total</t>
  </si>
  <si>
    <t>Sir Adeel Khan</t>
  </si>
  <si>
    <t>Sindhi</t>
  </si>
  <si>
    <t>0339-8209752</t>
  </si>
  <si>
    <t>Sir Adeel Khan Total</t>
  </si>
  <si>
    <t>Sir Ahmed Karim</t>
  </si>
  <si>
    <t>English</t>
  </si>
  <si>
    <t>0312-3527016</t>
  </si>
  <si>
    <t>Sir Ahmed Karim Total</t>
  </si>
  <si>
    <t>Sir Ali Ahmed</t>
  </si>
  <si>
    <t>0321-7295178</t>
  </si>
  <si>
    <t>Sir Ali Ahmed Total</t>
  </si>
  <si>
    <t>Sir Arslan Haider</t>
  </si>
  <si>
    <t>Electronics</t>
  </si>
  <si>
    <t>ADE</t>
  </si>
  <si>
    <t>0333-2343670</t>
  </si>
  <si>
    <t>Sir Arslan Haider Total</t>
  </si>
  <si>
    <t>Sir Asif Khan</t>
  </si>
  <si>
    <t>Programming</t>
  </si>
  <si>
    <t>0303-8299304</t>
  </si>
  <si>
    <t>Sir Asif Khan Total</t>
  </si>
  <si>
    <t>Sir Bilal Wahid</t>
  </si>
  <si>
    <t>Pakistan Studies</t>
  </si>
  <si>
    <t>0333-2838923</t>
  </si>
  <si>
    <t>Sir Bilal Wahid Total</t>
  </si>
  <si>
    <t>Sir Danish Ahmed</t>
  </si>
  <si>
    <t>Environmental Science</t>
  </si>
  <si>
    <t>BCom</t>
  </si>
  <si>
    <t>0349-9703611</t>
  </si>
  <si>
    <t>Sir Danish Ahmed Total</t>
  </si>
  <si>
    <t>Sir Fahad Ali</t>
  </si>
  <si>
    <t>Civics</t>
  </si>
  <si>
    <t>BBA</t>
  </si>
  <si>
    <t>0335-2192459</t>
  </si>
  <si>
    <t>Sir Fahad Ali Total</t>
  </si>
  <si>
    <t>Sir Farhan Khan</t>
  </si>
  <si>
    <t>Physical Education</t>
  </si>
  <si>
    <t>0344-8792958</t>
  </si>
  <si>
    <t>Sir Farhan Khan Total</t>
  </si>
  <si>
    <t>Sir Hamza Ahmed</t>
  </si>
  <si>
    <t>Economics</t>
  </si>
  <si>
    <t>0339-3915676</t>
  </si>
  <si>
    <t>Sir Hamza Ahmed Total</t>
  </si>
  <si>
    <t>Sir Hassan Ali</t>
  </si>
  <si>
    <t>Urdu</t>
  </si>
  <si>
    <t>0300-9305368</t>
  </si>
  <si>
    <t>Sir Hassan Ali Total</t>
  </si>
  <si>
    <t>Sir Imran Ahmed</t>
  </si>
  <si>
    <t>Business Studies</t>
  </si>
  <si>
    <t>0331-2533707</t>
  </si>
  <si>
    <t>Sir Imran Ahmed Total</t>
  </si>
  <si>
    <t>Sir Kashif Hussain</t>
  </si>
  <si>
    <t>Database Systems</t>
  </si>
  <si>
    <t>0323-2171036</t>
  </si>
  <si>
    <t>Sir Kashif Hussain Total</t>
  </si>
  <si>
    <t>Sir Naveed Ahmed</t>
  </si>
  <si>
    <t>Algebra</t>
  </si>
  <si>
    <t>BEd</t>
  </si>
  <si>
    <t>0318-1488194</t>
  </si>
  <si>
    <t>Sir Naveed Ahmed Total</t>
  </si>
  <si>
    <t>Sir Orhaan Ahmed</t>
  </si>
  <si>
    <t>Robotics</t>
  </si>
  <si>
    <t>0331-5640481</t>
  </si>
  <si>
    <t>Sir Orhaan Ahmed Total</t>
  </si>
  <si>
    <t>Sir Rehan Nawaz</t>
  </si>
  <si>
    <t>Arabic</t>
  </si>
  <si>
    <t>0330-5398341</t>
  </si>
  <si>
    <t>Sir Rehan Nawaz Total</t>
  </si>
  <si>
    <t>Sir Rizwan Shah</t>
  </si>
  <si>
    <t>Hadith Studies</t>
  </si>
  <si>
    <t>0305-5095726</t>
  </si>
  <si>
    <t>Sir Rizwan Shah Total</t>
  </si>
  <si>
    <t>Sir Saad Hussain</t>
  </si>
  <si>
    <t>Inorganic Chemistry</t>
  </si>
  <si>
    <t>0312-3890264</t>
  </si>
  <si>
    <t>Sir Saad Hussain Total</t>
  </si>
  <si>
    <t>Sir Salman Ahmed</t>
  </si>
  <si>
    <t>History</t>
  </si>
  <si>
    <t>0307-2987224</t>
  </si>
  <si>
    <t>Sir Salman Ahmed Total</t>
  </si>
  <si>
    <t>Sir Shahid Khan</t>
  </si>
  <si>
    <t>Calculus</t>
  </si>
  <si>
    <t>0334-3799577</t>
  </si>
  <si>
    <t>Sir Shahid Khan Total</t>
  </si>
  <si>
    <t>Sir Talha Raza</t>
  </si>
  <si>
    <t>Zoology</t>
  </si>
  <si>
    <t>0349-1921165</t>
  </si>
  <si>
    <t>Sir Talha Raza Total</t>
  </si>
  <si>
    <t>Sir Usman Rasool</t>
  </si>
  <si>
    <t>0322-4326186</t>
  </si>
  <si>
    <t>Sir Usman Rasool Total</t>
  </si>
  <si>
    <t>Sir Waqas Ahmed</t>
  </si>
  <si>
    <t>Grammar</t>
  </si>
  <si>
    <t>0307-4020729</t>
  </si>
  <si>
    <t>Sir Waqas Ahmed Total</t>
  </si>
  <si>
    <t>Sir Yasir Khan</t>
  </si>
  <si>
    <t>Creative Writing</t>
  </si>
  <si>
    <t>0317-6635712</t>
  </si>
  <si>
    <t>Sir Yasir Khan Total</t>
  </si>
  <si>
    <t>Sir Zain Shah</t>
  </si>
  <si>
    <t>Art &amp; Drawing</t>
  </si>
  <si>
    <t>0315-7388967</t>
  </si>
  <si>
    <t>Sir Zain Shah Total</t>
  </si>
  <si>
    <t>STUDENTS ATTENDANCES RECODES</t>
  </si>
  <si>
    <t>Remarks</t>
  </si>
  <si>
    <t>COUNTA of Student ID</t>
  </si>
  <si>
    <t>COUNTA of Remarks</t>
  </si>
  <si>
    <t>COUNTA of Attendance</t>
  </si>
  <si>
    <t>Date</t>
  </si>
  <si>
    <t>Attendance</t>
  </si>
  <si>
    <t>Leave Status</t>
  </si>
  <si>
    <t>Late Status</t>
  </si>
  <si>
    <t>Needs follow-up</t>
  </si>
  <si>
    <t>Late</t>
  </si>
  <si>
    <t>Late arrival</t>
  </si>
  <si>
    <t>On Time</t>
  </si>
  <si>
    <t>Good</t>
  </si>
  <si>
    <t>STUDENTS FEES RECORDS</t>
  </si>
  <si>
    <t>Payment Date</t>
  </si>
  <si>
    <t>Month</t>
  </si>
  <si>
    <t>SUM of Total Fees</t>
  </si>
  <si>
    <t>COUNTA of Status</t>
  </si>
  <si>
    <t>SUM of Pending Amount</t>
  </si>
  <si>
    <t>Total Fees</t>
  </si>
  <si>
    <t>Pending Amount</t>
  </si>
  <si>
    <t>January</t>
  </si>
  <si>
    <t>SCHOOL MANAGEMENT DASHBOARD</t>
  </si>
  <si>
    <t>Students • Teachers • Attendance • Fees | Excel Based Management System</t>
  </si>
  <si>
    <t>👥  Total Students</t>
  </si>
  <si>
    <t>👩‍🏫  Total Teachers</t>
  </si>
  <si>
    <t>💰  Total Fees</t>
  </si>
  <si>
    <t>✅  Collected</t>
  </si>
  <si>
    <t>Auto-calculated</t>
  </si>
  <si>
    <t>⏳  Pending</t>
  </si>
  <si>
    <t>🟢  Present Today</t>
  </si>
  <si>
    <t>🔴  Absent Today</t>
  </si>
  <si>
    <t>🏦  Teacher Salary</t>
  </si>
  <si>
    <t>Quick Summary</t>
  </si>
  <si>
    <t>Count</t>
  </si>
  <si>
    <t>Metric</t>
  </si>
  <si>
    <t>Value</t>
  </si>
  <si>
    <t>Paid</t>
  </si>
  <si>
    <t>Paid Students</t>
  </si>
  <si>
    <t>Partial</t>
  </si>
  <si>
    <t>Partial/Unpaid</t>
  </si>
  <si>
    <t>Unpaid</t>
  </si>
  <si>
    <t>Eligible Students</t>
  </si>
  <si>
    <t>Not Eligible</t>
  </si>
  <si>
    <t>Late Students</t>
  </si>
  <si>
    <t>On Time Students</t>
  </si>
  <si>
    <t>Fee Collection Rate</t>
  </si>
  <si>
    <t>Collected</t>
  </si>
  <si>
    <t>Collection %</t>
  </si>
  <si>
    <t>Amount</t>
  </si>
  <si>
    <t>1OO,300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</si>
</sst>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22">
    <font>
      <sz val="11.0"/>
      <color rgb="FF000000"/>
      <name val="Carlito"/>
      <scheme val="minor"/>
    </font>
    <font>
      <color theme="1"/>
      <name val="Carlito"/>
      <scheme val="minor"/>
    </font>
    <font>
      <sz val="45.0"/>
      <color theme="1"/>
      <name val="Carlito"/>
      <scheme val="minor"/>
    </font>
    <font>
      <sz val="48.0"/>
      <color theme="1"/>
      <name val="Carlito"/>
      <scheme val="minor"/>
    </font>
    <font>
      <b/>
      <sz val="11.0"/>
      <color rgb="FF000000"/>
      <name val="Carlito"/>
    </font>
    <font>
      <sz val="11.0"/>
      <color theme="1"/>
      <name val="Carlito"/>
    </font>
    <font>
      <sz val="41.0"/>
      <color theme="1"/>
      <name val="Carlito"/>
      <scheme val="minor"/>
    </font>
    <font>
      <sz val="39.0"/>
      <color rgb="FFFFFFFF"/>
      <name val="Carlito"/>
      <scheme val="minor"/>
    </font>
    <font>
      <sz val="39.0"/>
      <color theme="1"/>
      <name val="Carlito"/>
      <scheme val="minor"/>
    </font>
    <font>
      <b/>
      <sz val="11.0"/>
      <color rgb="FFFFFFFF"/>
      <name val="Carlito"/>
    </font>
    <font>
      <b/>
      <sz val="11.0"/>
      <color rgb="FF991B1B"/>
      <name val="Carlito"/>
    </font>
    <font>
      <b/>
      <sz val="11.0"/>
      <color rgb="FF92400E"/>
      <name val="Carlito"/>
    </font>
    <font>
      <b/>
      <sz val="11.0"/>
      <color rgb="FF166534"/>
      <name val="Carlito"/>
    </font>
    <font>
      <sz val="37.0"/>
      <color theme="1"/>
      <name val="Carlito"/>
      <scheme val="minor"/>
    </font>
    <font>
      <b/>
      <sz val="33.0"/>
      <color theme="1"/>
      <name val="Carlito"/>
      <scheme val="minor"/>
    </font>
    <font>
      <b/>
      <sz val="20.0"/>
      <color rgb="FFFFFFFF"/>
      <name val="Carlito"/>
    </font>
    <font>
      <i/>
      <sz val="11.0"/>
      <color rgb="FF0369A1"/>
      <name val="Carlito"/>
    </font>
    <font>
      <b/>
      <sz val="10.0"/>
      <color rgb="FF334155"/>
      <name val="Carlito"/>
    </font>
    <font>
      <b/>
      <sz val="11.0"/>
      <color rgb="FF334155"/>
      <name val="Carlito"/>
    </font>
    <font>
      <b/>
      <sz val="18.0"/>
      <color rgb="FF0F172A"/>
      <name val="Carlito"/>
    </font>
    <font>
      <sz val="9.0"/>
      <color rgb="FF64748B"/>
      <name val="Carlito"/>
    </font>
    <font>
      <b/>
      <sz val="13.0"/>
      <color rgb="FFFFFFFF"/>
      <name val="Carlito"/>
    </font>
  </fonts>
  <fills count="18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C27BA0"/>
        <bgColor rgb="FFC27BA0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6B26B"/>
        <bgColor rgb="FFF6B26B"/>
      </patternFill>
    </fill>
    <fill>
      <patternFill patternType="solid">
        <fgColor rgb="FF0F172A"/>
        <bgColor rgb="FF0F172A"/>
      </patternFill>
    </fill>
    <fill>
      <patternFill patternType="solid">
        <fgColor rgb="FFE0F2FE"/>
        <bgColor rgb="FFE0F2FE"/>
      </patternFill>
    </fill>
    <fill>
      <patternFill patternType="solid">
        <fgColor rgb="FFF8FAFC"/>
        <bgColor rgb="FFF8FAFC"/>
      </patternFill>
    </fill>
    <fill>
      <patternFill patternType="solid">
        <fgColor rgb="FF134E4A"/>
        <bgColor rgb="FF134E4A"/>
      </patternFill>
    </fill>
    <fill>
      <patternFill patternType="solid">
        <fgColor rgb="FF0F4C81"/>
        <bgColor rgb="FF0F4C81"/>
      </patternFill>
    </fill>
    <fill>
      <patternFill patternType="solid">
        <fgColor rgb="FF1E293B"/>
        <bgColor rgb="FF1E293B"/>
      </patternFill>
    </fill>
    <fill>
      <patternFill patternType="solid">
        <fgColor rgb="FFECFDF5"/>
        <bgColor rgb="FFECFDF5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Font="1"/>
    <xf borderId="1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0" fillId="0" fontId="1" numFmtId="0" xfId="0" applyFont="1"/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9" xfId="0" applyAlignment="1" applyBorder="1" applyFont="1" applyNumberFormat="1">
      <alignment horizontal="center" shrinkToFit="0" vertical="center" wrapText="1"/>
    </xf>
    <xf borderId="1" fillId="3" fontId="5" numFmtId="3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0" fillId="5" fontId="1" numFmtId="0" xfId="0" applyFill="1" applyFont="1"/>
    <xf borderId="0" fillId="5" fontId="6" numFmtId="0" xfId="0" applyFont="1"/>
    <xf borderId="0" fillId="5" fontId="7" numFmtId="0" xfId="0" applyAlignment="1" applyFont="1">
      <alignment readingOrder="0"/>
    </xf>
    <xf borderId="0" fillId="5" fontId="8" numFmtId="0" xfId="0" applyFont="1"/>
    <xf borderId="2" fillId="6" fontId="9" numFmtId="0" xfId="0" applyAlignment="1" applyBorder="1" applyFill="1" applyFont="1">
      <alignment horizontal="center"/>
    </xf>
    <xf borderId="2" fillId="7" fontId="5" numFmtId="0" xfId="0" applyAlignment="1" applyBorder="1" applyFill="1" applyFont="1">
      <alignment horizontal="center" shrinkToFit="0" wrapText="1"/>
    </xf>
    <xf borderId="2" fillId="7" fontId="5" numFmtId="164" xfId="0" applyAlignment="1" applyBorder="1" applyFont="1" applyNumberFormat="1">
      <alignment horizontal="center" shrinkToFit="0" wrapText="1"/>
    </xf>
    <xf borderId="2" fillId="7" fontId="5" numFmtId="3" xfId="0" applyAlignment="1" applyBorder="1" applyFont="1" applyNumberFormat="1">
      <alignment horizontal="center" shrinkToFit="0" wrapText="1"/>
    </xf>
    <xf borderId="2" fillId="7" fontId="10" numFmtId="0" xfId="0" applyAlignment="1" applyBorder="1" applyFont="1">
      <alignment horizontal="center" shrinkToFit="0" wrapText="1"/>
    </xf>
    <xf borderId="0" fillId="0" fontId="1" numFmtId="3" xfId="0" applyFont="1" applyNumberFormat="1"/>
    <xf borderId="2" fillId="8" fontId="11" numFmtId="0" xfId="0" applyAlignment="1" applyBorder="1" applyFill="1" applyFont="1">
      <alignment horizontal="center" shrinkToFit="0" wrapText="1"/>
    </xf>
    <xf borderId="2" fillId="9" fontId="12" numFmtId="0" xfId="0" applyAlignment="1" applyBorder="1" applyFill="1" applyFont="1">
      <alignment horizontal="center" shrinkToFit="0" wrapText="1"/>
    </xf>
    <xf borderId="0" fillId="2" fontId="13" numFmtId="0" xfId="0" applyAlignment="1" applyFont="1">
      <alignment readingOrder="0"/>
    </xf>
    <xf borderId="0" fillId="2" fontId="13" numFmtId="0" xfId="0" applyFont="1"/>
    <xf borderId="2" fillId="2" fontId="4" numFmtId="0" xfId="0" applyAlignment="1" applyBorder="1" applyFont="1">
      <alignment horizontal="center"/>
    </xf>
    <xf borderId="2" fillId="4" fontId="5" numFmtId="0" xfId="0" applyAlignment="1" applyBorder="1" applyFont="1">
      <alignment horizontal="center" shrinkToFit="0" wrapText="1"/>
    </xf>
    <xf borderId="2" fillId="4" fontId="5" numFmtId="164" xfId="0" applyAlignment="1" applyBorder="1" applyFont="1" applyNumberFormat="1">
      <alignment horizontal="center" shrinkToFit="0" wrapText="1"/>
    </xf>
    <xf borderId="2" fillId="4" fontId="10" numFmtId="0" xfId="0" applyAlignment="1" applyBorder="1" applyFont="1">
      <alignment horizontal="center" shrinkToFit="0" wrapText="1"/>
    </xf>
    <xf borderId="2" fillId="4" fontId="12" numFmtId="0" xfId="0" applyAlignment="1" applyBorder="1" applyFont="1">
      <alignment horizontal="center" shrinkToFit="0" wrapText="1"/>
    </xf>
    <xf borderId="2" fillId="4" fontId="11" numFmtId="0" xfId="0" applyAlignment="1" applyBorder="1" applyFont="1">
      <alignment horizontal="center" shrinkToFit="0" wrapText="1"/>
    </xf>
    <xf borderId="0" fillId="10" fontId="1" numFmtId="0" xfId="0" applyFill="1" applyFont="1"/>
    <xf borderId="0" fillId="10" fontId="14" numFmtId="0" xfId="0" applyFont="1"/>
    <xf borderId="0" fillId="10" fontId="14" numFmtId="0" xfId="0" applyAlignment="1" applyFont="1">
      <alignment readingOrder="0"/>
    </xf>
    <xf borderId="1" fillId="10" fontId="4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shrinkToFit="0" vertical="center" wrapText="1"/>
    </xf>
    <xf borderId="1" fillId="8" fontId="5" numFmtId="3" xfId="0" applyAlignment="1" applyBorder="1" applyFont="1" applyNumberFormat="1">
      <alignment horizontal="center" shrinkToFit="0" vertical="center" wrapText="1"/>
    </xf>
    <xf borderId="1" fillId="8" fontId="5" numFmtId="164" xfId="0" applyAlignment="1" applyBorder="1" applyFont="1" applyNumberFormat="1">
      <alignment horizontal="center" shrinkToFit="0" vertical="center" wrapText="1"/>
    </xf>
    <xf borderId="0" fillId="11" fontId="15" numFmtId="0" xfId="0" applyAlignment="1" applyFill="1" applyFont="1">
      <alignment horizontal="center" vertical="center"/>
    </xf>
    <xf borderId="0" fillId="12" fontId="16" numFmtId="0" xfId="0" applyAlignment="1" applyFill="1" applyFont="1">
      <alignment horizontal="center"/>
    </xf>
    <xf borderId="0" fillId="13" fontId="17" numFmtId="0" xfId="0" applyAlignment="1" applyFill="1" applyFont="1">
      <alignment horizontal="center" shrinkToFit="0" vertical="center" wrapText="1"/>
    </xf>
    <xf borderId="0" fillId="13" fontId="18" numFmtId="0" xfId="0" applyAlignment="1" applyFont="1">
      <alignment horizontal="center" readingOrder="0" shrinkToFit="0" vertical="center" wrapText="1"/>
    </xf>
    <xf borderId="0" fillId="13" fontId="19" numFmtId="3" xfId="0" applyAlignment="1" applyFont="1" applyNumberFormat="1">
      <alignment horizontal="center" readingOrder="0" shrinkToFit="0" vertical="center" wrapText="1"/>
    </xf>
    <xf borderId="0" fillId="13" fontId="20" numFmtId="0" xfId="0" applyAlignment="1" applyFont="1">
      <alignment horizontal="center" shrinkToFit="0" vertical="center" wrapText="1"/>
    </xf>
    <xf borderId="0" fillId="11" fontId="21" numFmtId="0" xfId="0" applyAlignment="1" applyFont="1">
      <alignment horizontal="center"/>
    </xf>
    <xf borderId="0" fillId="14" fontId="9" numFmtId="0" xfId="0" applyFill="1" applyFont="1"/>
    <xf borderId="0" fillId="15" fontId="9" numFmtId="0" xfId="0" applyFill="1" applyFont="1"/>
    <xf borderId="0" fillId="16" fontId="9" numFmtId="0" xfId="0" applyAlignment="1" applyFill="1" applyFont="1">
      <alignment horizontal="center"/>
    </xf>
    <xf borderId="0" fillId="13" fontId="5" numFmtId="0" xfId="0" applyFont="1"/>
    <xf borderId="0" fillId="13" fontId="5" numFmtId="0" xfId="0" applyAlignment="1" applyFont="1">
      <alignment readingOrder="0"/>
    </xf>
    <xf borderId="0" fillId="13" fontId="5" numFmtId="0" xfId="0" applyAlignment="1" applyFont="1">
      <alignment vertical="center"/>
    </xf>
    <xf borderId="0" fillId="13" fontId="5" numFmtId="3" xfId="0" applyAlignment="1" applyFont="1" applyNumberFormat="1">
      <alignment readingOrder="0" vertical="center"/>
    </xf>
    <xf borderId="0" fillId="14" fontId="9" numFmtId="0" xfId="0" applyAlignment="1" applyFont="1">
      <alignment horizontal="center"/>
    </xf>
    <xf borderId="0" fillId="17" fontId="5" numFmtId="0" xfId="0" applyFill="1" applyFont="1"/>
    <xf borderId="0" fillId="17" fontId="5" numFmtId="3" xfId="0" applyAlignment="1" applyFont="1" applyNumberFormat="1">
      <alignment readingOrder="0"/>
    </xf>
    <xf borderId="0" fillId="17" fontId="5" numFmtId="9" xfId="0" applyFont="1" applyNumberForma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075985"/>
      </font>
      <fill>
        <patternFill patternType="solid">
          <fgColor rgb="FFE0F2FE"/>
          <bgColor rgb="FFE0F2FE"/>
        </patternFill>
      </fill>
      <border/>
    </dxf>
    <dxf>
      <font>
        <b/>
        <color rgb="FF9D174D"/>
      </font>
      <fill>
        <patternFill patternType="solid">
          <fgColor rgb="FFFCE7F3"/>
          <bgColor rgb="FFFCE7F3"/>
        </patternFill>
      </fill>
      <border/>
    </dxf>
  </dxfs>
  <tableStyles count="4">
    <tableStyle count="3" pivot="0" name="Students-style">
      <tableStyleElement dxfId="1" type="headerRow"/>
      <tableStyleElement dxfId="2" type="firstRowStripe"/>
      <tableStyleElement dxfId="3" type="secondRowStripe"/>
    </tableStyle>
    <tableStyle count="3" pivot="0" name="Teachers-style">
      <tableStyleElement dxfId="1" type="headerRow"/>
      <tableStyleElement dxfId="2" type="firstRowStripe"/>
      <tableStyleElement dxfId="3" type="secondRowStripe"/>
    </tableStyle>
    <tableStyle count="3" pivot="0" name="Attendance-style">
      <tableStyleElement dxfId="1" type="headerRow"/>
      <tableStyleElement dxfId="2" type="firstRowStripe"/>
      <tableStyleElement dxfId="3" type="secondRowStripe"/>
    </tableStyle>
    <tableStyle count="3" pivot="0" name="F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vs. Metric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'!$B$12:$B$13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'!$A$14:$A$19</c:f>
            </c:strRef>
          </c:cat>
          <c:val>
            <c:numRef>
              <c:f>'dashboard '!$B$14:$B$19</c:f>
              <c:numCache/>
            </c:numRef>
          </c:val>
        </c:ser>
        <c:axId val="1123190419"/>
        <c:axId val="796816247"/>
      </c:barChart>
      <c:catAx>
        <c:axId val="1123190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816247"/>
      </c:catAx>
      <c:valAx>
        <c:axId val="796816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190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Paid, Partial and Unpaid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'!$J$12:$L$12</c:f>
            </c:strRef>
          </c:cat>
          <c:val>
            <c:numRef>
              <c:f>'dashboard '!$J$13:$L$13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'dashboard '!$J$12:$L$12</c:f>
            </c:strRef>
          </c:cat>
          <c:val>
            <c:numRef>
              <c:f>'dashboard '!$J$14:$L$14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'dashboard '!$J$12:$L$12</c:f>
            </c:strRef>
          </c:cat>
          <c:val>
            <c:numRef>
              <c:f>'dashboard '!$J$15:$L$15</c:f>
              <c:numCache/>
            </c:numRef>
          </c:val>
        </c:ser>
        <c:overlap val="100"/>
        <c:axId val="185934278"/>
        <c:axId val="954410922"/>
      </c:barChart>
      <c:catAx>
        <c:axId val="185934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410922"/>
      </c:catAx>
      <c:valAx>
        <c:axId val="954410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34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'dashboard '!$B$21</c:f>
            </c:strRef>
          </c:tx>
          <c:spPr>
            <a:solidFill>
              <a:srgbClr val="156082">
                <a:alpha val="30000"/>
              </a:srgbClr>
            </a:solidFill>
            <a:ln cmpd="sng">
              <a:solidFill>
                <a:srgbClr val="156082"/>
              </a:solidFill>
            </a:ln>
          </c:spPr>
          <c:cat>
            <c:strRef>
              <c:f>'dashboard '!$A$22:$A$24</c:f>
            </c:strRef>
          </c:cat>
          <c:val>
            <c:numRef>
              <c:f>'dashboard '!$B$22:$B$24</c:f>
              <c:numCache/>
            </c:numRef>
          </c:val>
        </c:ser>
        <c:axId val="543616381"/>
        <c:axId val="227375784"/>
      </c:areaChart>
      <c:catAx>
        <c:axId val="543616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 Collection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375784"/>
      </c:catAx>
      <c:valAx>
        <c:axId val="227375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616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'dashboard '!$B$21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'!$A$22:$A$24</c:f>
            </c:strRef>
          </c:cat>
          <c:val>
            <c:numRef>
              <c:f>'dashboard '!$B$22:$B$24</c:f>
              <c:numCache/>
            </c:numRef>
          </c:val>
        </c:ser>
        <c:axId val="58353613"/>
        <c:axId val="987681667"/>
      </c:barChart>
      <c:catAx>
        <c:axId val="583536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 Collection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681667"/>
      </c:catAx>
      <c:valAx>
        <c:axId val="9876816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536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'!$L$12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'!$K$13:$K$15</c:f>
            </c:strRef>
          </c:cat>
          <c:val>
            <c:numRef>
              <c:f>'dashboard '!$L$13:$L$15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12</xdr:row>
      <xdr:rowOff>9525</xdr:rowOff>
    </xdr:from>
    <xdr:ext cx="3314700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952500</xdr:colOff>
      <xdr:row>0</xdr:row>
      <xdr:rowOff>47625</xdr:rowOff>
    </xdr:from>
    <xdr:ext cx="4972050" cy="3086100"/>
    <xdr:pic>
      <xdr:nvPicPr>
        <xdr:cNvPr id="28351734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15</xdr:row>
      <xdr:rowOff>9525</xdr:rowOff>
    </xdr:from>
    <xdr:ext cx="3590925" cy="2228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85725</xdr:colOff>
      <xdr:row>35</xdr:row>
      <xdr:rowOff>57150</xdr:rowOff>
    </xdr:from>
    <xdr:ext cx="3543300" cy="2190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85725</xdr:rowOff>
    </xdr:from>
    <xdr:ext cx="4972050" cy="3086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952500</xdr:colOff>
      <xdr:row>15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R57" sheet="Students"/>
  </cacheSource>
  <cacheFields>
    <cacheField name="s,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</sharedItems>
    </cacheField>
    <cacheField name="Student ID" numFmtId="0">
      <sharedItems>
        <s v="ST001"/>
        <s v="ST002"/>
        <s v="ST003"/>
        <s v="ST004"/>
        <s v="ST005"/>
        <s v="ST006"/>
        <s v="ST007"/>
        <s v="ST008"/>
        <s v="ST009"/>
        <s v="ST010"/>
        <s v="ST011"/>
        <s v="ST012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</sharedItems>
    </cacheField>
    <cacheField name="Student Name" numFmtId="0">
      <sharedItems>
        <s v="Abdullah"/>
        <s v="Adnan"/>
        <s v="Ahmed"/>
        <s v="Aleena"/>
        <s v="Ali"/>
        <s v="Alina"/>
        <s v="Amna"/>
        <s v="Anaya"/>
        <s v="Areeba"/>
        <s v="Arslan"/>
        <s v="Asad"/>
        <s v="Ayaan"/>
        <s v="Ayesha"/>
        <s v="Bilal"/>
        <s v="Daniyal"/>
        <s v="Dua"/>
        <s v="Eman"/>
        <s v="Fahad"/>
        <s v="Faizan"/>
        <s v="Fatima"/>
        <s v="Hafsa"/>
        <s v="Hamza"/>
        <s v="Hania"/>
        <s v="Haris"/>
        <s v="Hassan"/>
        <s v="Hira"/>
        <s v="Imran"/>
        <s v="Iqra"/>
        <s v="Junaid"/>
        <s v="Khadija"/>
        <s v="Kinza"/>
        <s v="Laiba"/>
        <s v="Maham"/>
        <s v="Maryam"/>
        <s v="Mehak"/>
        <s v="Minahil"/>
        <s v="Mustafa"/>
        <s v="Nimra"/>
        <s v="Noor"/>
        <s v="Rabia"/>
        <s v="Rayyan"/>
        <s v="Rizwan"/>
        <s v="Saad"/>
        <s v="Saba"/>
        <s v="Salman"/>
        <s v="Sana"/>
        <s v="Shahzaib"/>
        <s v="Taha"/>
        <s v="Talha"/>
        <s v="Umar"/>
        <s v="Usman"/>
        <s v="Waqas"/>
        <s v="Zain"/>
        <s v="Zainab"/>
        <s v="Zara"/>
      </sharedItems>
    </cacheField>
    <cacheField name="Father Name" numFmtId="0">
      <sharedItems>
        <s v="Muhammad Aslam"/>
        <s v="Muhammad Iqbal"/>
        <s v="Abdul Rehman"/>
        <s v="Muhammad Yousaf"/>
        <s v="Khalid Mehmood"/>
        <s v="Muhammad Arshad"/>
        <s v="Rashid Ahmed"/>
        <s v="Muhammad Akram"/>
        <s v="Javed Iqbal"/>
        <s v="Muhammad Naveed"/>
        <s v="Tariq Mehmood"/>
        <s v="Muhammad Saleem"/>
        <s v="Abdul Qadir"/>
        <s v="Muhammad Hanif"/>
        <s v="Ghulam Mustafa"/>
        <s v="Muhammad Ashraf"/>
        <s v="Muhammad Shafiq"/>
        <s v="Bashir Ahmed"/>
        <s v="Muhammad Riaz"/>
        <s v="Abdul Hameed"/>
        <s v="Muhammad Farooq"/>
        <s v="Muhammad Jamil"/>
        <s v="Shahid Iqbal"/>
        <s v="Muhammad Nadeem"/>
        <s v="Muhammad Anwar"/>
        <s v="Asif Mehmood"/>
        <s v="Muhammad Sarwar"/>
        <s v="Muhammad Sajid"/>
        <s v="Liaqat Ali"/>
        <s v="Muhammad Latif"/>
        <s v="Muhammad Ishaq"/>
        <s v="Abdul Sattar"/>
        <s v="Muhammad Bashir"/>
        <s v="Muhammad Rafiq"/>
        <s v="Muhammad Idrees"/>
        <s v="Muhammad Yaqoob"/>
        <s v="Ghulam Rasool"/>
        <s v="Muhammad Nawaz"/>
        <s v="Muhammad Rauf"/>
        <s v="Muhammad Afzal"/>
        <s v="Muhammad Shabbir"/>
        <s v="Muhammad Munir"/>
        <s v="Muhammad Ilyas"/>
        <s v="Muhammad Zafar"/>
        <s v="Muhammad Arif"/>
        <s v="Muhammad Nazir"/>
        <s v="Muhammad Siddique"/>
        <s v="Muhammad Tariq"/>
        <s v="Muhammad Ameen"/>
        <s v="Muhammad Ayub"/>
        <s v="Muhammad Ramzan"/>
        <s v="Muhammad Yasin"/>
        <s v="Muhammad Mushtaq"/>
        <s v="Muhammad Ismail"/>
        <s v="Muhammad Shakeel"/>
      </sharedItems>
    </cacheField>
    <cacheField name="Class" numFmtId="0">
      <sharedItems>
        <s v="Class 3"/>
        <s v="Class 8"/>
        <s v="Class 1"/>
        <s v="Class 10"/>
        <s v="Class 5"/>
        <s v="Class 2"/>
        <s v="Class 7"/>
        <s v="Class 9"/>
        <s v="Class 4"/>
        <s v="Class 6"/>
      </sharedItems>
    </cacheField>
    <cacheField name="Section" numFmtId="0">
      <sharedItems>
        <s v="A"/>
        <s v="C"/>
        <s v="B"/>
        <s v="D"/>
      </sharedItems>
    </cacheField>
    <cacheField name="Roll No" numFmtId="0">
      <sharedItems containsSemiMixedTypes="0" containsString="0" containsNumber="1" containsInteger="1">
        <n v="1035.0"/>
        <n v="1012.0"/>
        <n v="1058.0"/>
        <n v="1024.0"/>
        <n v="1071.0"/>
        <n v="1018.0"/>
        <n v="1043.0"/>
        <n v="1090.0"/>
        <n v="1029.0"/>
        <n v="1064.0"/>
        <n v="1007.0"/>
        <n v="1044.0"/>
        <n v="1081.0"/>
        <n v="1055.0"/>
        <n v="1092.0"/>
        <n v="1066.0"/>
        <n v="1003.0"/>
        <n v="1040.0"/>
        <n v="1077.0"/>
        <n v="1014.0"/>
        <n v="1051.0"/>
        <n v="1088.0"/>
        <n v="1025.0"/>
        <n v="1062.0"/>
        <n v="1099.0"/>
        <n v="1036.0"/>
        <n v="1073.0"/>
        <n v="1010.0"/>
        <n v="1047.0"/>
        <n v="1084.0"/>
        <n v="1021.0"/>
        <n v="1095.0"/>
        <n v="1032.0"/>
        <n v="1069.0"/>
        <n v="1006.0"/>
        <n v="1080.0"/>
        <n v="1017.0"/>
        <n v="1054.0"/>
        <n v="1091.0"/>
        <n v="1028.0"/>
        <n v="1065.0"/>
        <n v="1002.0"/>
        <n v="1039.0"/>
        <n v="1076.0"/>
        <n v="1013.0"/>
        <n v="1050.0"/>
        <n v="1087.0"/>
        <n v="1061.0"/>
        <n v="1098.0"/>
      </sharedItems>
    </cacheField>
    <cacheField name="Total Classes" numFmtId="0">
      <sharedItems containsSemiMixedTypes="0" containsString="0" containsNumber="1" containsInteger="1">
        <n v="100.0"/>
      </sharedItems>
    </cacheField>
    <cacheField name="Present Days" numFmtId="0">
      <sharedItems containsSemiMixedTypes="0" containsString="0" containsNumber="1" containsInteger="1">
        <n v="55.0"/>
        <n v="70.0"/>
        <n v="67.0"/>
        <n v="85.0"/>
        <n v="60.0"/>
        <n v="72.0"/>
        <n v="68.0"/>
        <n v="90.0"/>
        <n v="75.0"/>
        <n v="80.0"/>
        <n v="66.0"/>
        <n v="58.0"/>
        <n v="73.0"/>
        <n v="77.0"/>
        <n v="84.0"/>
        <n v="69.0"/>
        <n v="71.0"/>
        <n v="88.0"/>
        <n v="62.0"/>
        <n v="79.0"/>
        <n v="65.0"/>
        <n v="74.0"/>
        <n v="83.0"/>
        <n v="57.0"/>
        <n v="78.0"/>
        <n v="81.0"/>
        <n v="86.0"/>
        <n v="64.0"/>
        <n v="59.0"/>
        <n v="87.0"/>
        <n v="76.0"/>
        <n v="82.0"/>
      </sharedItems>
    </cacheField>
    <cacheField name="Attendance %" numFmtId="9">
      <sharedItems containsSemiMixedTypes="0" containsString="0" containsNumber="1">
        <n v="0.55"/>
        <n v="0.7"/>
        <n v="0.67"/>
        <n v="0.85"/>
        <n v="0.6"/>
        <n v="0.72"/>
        <n v="0.68"/>
        <n v="0.9"/>
        <n v="0.75"/>
        <n v="0.8"/>
        <n v="0.66"/>
        <n v="0.58"/>
        <n v="0.73"/>
        <n v="0.77"/>
        <n v="0.84"/>
        <n v="0.69"/>
        <n v="0.71"/>
        <n v="0.88"/>
        <n v="0.62"/>
        <n v="0.79"/>
        <n v="0.65"/>
        <n v="0.74"/>
        <n v="0.83"/>
        <n v="0.57"/>
        <n v="0.78"/>
        <n v="0.81"/>
        <n v="0.86"/>
        <n v="0.64"/>
        <n v="0.59"/>
        <n v="0.87"/>
        <n v="0.76"/>
        <n v="0.82"/>
      </sharedItems>
    </cacheField>
    <cacheField name="Eligibility" numFmtId="0">
      <sharedItems>
        <s v="NOT ELIGIBLE"/>
        <s v="ELIGIBLE"/>
      </sharedItems>
    </cacheField>
    <cacheField name="Contact" numFmtId="0">
      <sharedItems>
        <s v="0300-1000001"/>
        <s v="0300-1000002"/>
        <s v="0300-1000003"/>
        <s v="0300-1000004"/>
        <s v="0300-1000005"/>
        <s v="0300-1000006"/>
        <s v="0300-1000007"/>
        <s v="0300-1000008"/>
        <s v="0300-1000009"/>
        <s v="0300-1000010"/>
        <s v="0300-1000011"/>
        <s v="0300-1000012"/>
        <s v="0300-1000013"/>
        <s v="0300-1000014"/>
        <s v="0300-1000015"/>
        <s v="0300-1000016"/>
        <s v="0300-1000017"/>
        <s v="0300-1000018"/>
        <s v="0300-1000019"/>
        <s v="0300-1000020"/>
        <s v="0300-1000021"/>
        <s v="0300-1000022"/>
        <s v="0300-1000023"/>
        <s v="0300-1000024"/>
        <s v="0300-1000025"/>
        <s v="0300-1000026"/>
        <s v="0300-1000027"/>
        <s v="0300-1000028"/>
        <s v="0300-1000029"/>
        <s v="0300-1000030"/>
        <s v="0300-1000031"/>
        <s v="0300-1000032"/>
        <s v="0300-1000033"/>
        <s v="0300-1000034"/>
        <s v="0300-1000035"/>
        <s v="0300-1000036"/>
        <s v="0300-1000037"/>
        <s v="0300-1000038"/>
        <s v="0300-1000039"/>
        <s v="0300-1000040"/>
        <s v="0300-1000041"/>
        <s v="0300-1000042"/>
        <s v="0300-1000043"/>
        <s v="0300-1000044"/>
        <s v="0300-1000045"/>
        <s v="0300-1000046"/>
        <s v="0300-1000047"/>
        <s v="0300-1000048"/>
        <s v="0300-1000049"/>
        <s v="0300-1000050"/>
        <s v="0300-1000051"/>
        <s v="0300-1000052"/>
        <s v="0300-1000053"/>
        <s v="0300-1000054"/>
        <s v="0300-1000055"/>
      </sharedItems>
    </cacheField>
    <cacheField name="Address" numFmtId="0">
      <sharedItems>
        <s v="Gulshan-e-Iqbal, Karachi"/>
        <s v="Liaquatabad, Karachi"/>
        <s v="Nazimabad, Karachi"/>
        <s v="Malir, Karachi"/>
        <s v="Korangi, Karachi"/>
        <s v="Clifton, Karachi"/>
        <s v="Saddar, Karachi"/>
        <s v="North Karachi, Karachi"/>
        <s v="Orangi Town, Karachi"/>
        <s v="Federal B Area, Karachi"/>
        <s v="Gulistan-e-Johar, Karachi"/>
        <s v="Defence, Karachi"/>
        <s v="Shah Faisal Colony, Karachi"/>
        <s v="Landhi, Karachi"/>
        <s v="Baldia Town, Karachi"/>
        <s v="Scheme 33, Karachi"/>
        <s v="Buffer Zone, Karachi"/>
        <s v="SITE Area, Karachi"/>
        <s v="PECHS, Karachi"/>
        <s v="DHA Phase 2, Karachi"/>
        <s v="DHA Phase 4, Karachi"/>
        <s v="Clifton Block 5, Karachi"/>
        <s v="Gulshan Block 13, Karachi"/>
        <s v="Malir Cantt, Karachi"/>
        <s v="Korangi Industrial Area, Karachi"/>
        <s v="Nazimabad Block 1, Karachi"/>
        <s v="Nazimabad Block 3, Karachi"/>
        <s v="Gulshan Block 4, Karachi"/>
        <s v="Gulshan Block 7, Karachi"/>
        <s v="North Nazimabad, Karachi"/>
        <s v="Orangi Sector 11, Karachi"/>
        <s v="Orangi Sector 15, Karachi"/>
        <s v="Baldia Sector 4, Karachi"/>
        <s v="Landhi Sector 6, Karachi"/>
        <s v="Korangi Sector 33, Karachi"/>
        <s v="Gulistan-e-Johar Block 2, Karachi"/>
        <s v="Gulistan-e-Johar Block 7, Karachi"/>
        <s v="Scheme 33 Sector 15, Karachi"/>
        <s v="Buffer Zone Sector 16, Karachi"/>
        <s v="Saddar Area, Karachi"/>
        <s v="Clifton Block 7, Karachi"/>
        <s v="Clifton Block 8, Karachi"/>
        <s v="DHA Phase 6, Karachi"/>
        <s v="DHA Phase 8, Karachi"/>
        <s v="Malir Halt, Karachi"/>
        <s v="Malir Model Colony, Karachi"/>
        <s v="Korangi Crossing, Karachi"/>
        <s v="Landhi Colony, Karachi"/>
        <s v="Gulshan-e-Maymar, Karachi"/>
        <s v="Surjani Town, Karachi"/>
        <s v="New Karachi Sector 5, Karachi"/>
        <s v="New Karachi Sector 11, Karachi"/>
        <s v="Nazimabad Block 5, Karachi"/>
        <s v="Gulshan Block 2, Karachi"/>
        <s v="Orangi Town Sector 8, Karachi"/>
      </sharedItems>
    </cacheField>
    <cacheField name="Fee Amount" numFmtId="3">
      <sharedItems containsSemiMixedTypes="0" containsString="0" containsNumber="1" containsInteger="1">
        <n v="1000.0"/>
        <n v="1200.0"/>
        <n v="1500.0"/>
        <n v="2000.0"/>
        <n v="1800.0"/>
        <n v="2500.0"/>
        <n v="3000.0"/>
        <n v="1100.0"/>
        <n v="1400.0"/>
        <n v="1600.0"/>
        <n v="1700.0"/>
        <n v="1900.0"/>
        <n v="2200.0"/>
        <n v="2300.0"/>
        <n v="2400.0"/>
        <n v="2600.0"/>
        <n v="2800.0"/>
        <n v="2100.0"/>
        <n v="1300.0"/>
        <n v="2700.0"/>
      </sharedItems>
    </cacheField>
    <cacheField name="Paid Amount" numFmtId="3">
      <sharedItems containsSemiMixedTypes="0" containsString="0" containsNumber="1" containsInteger="1">
        <n v="500.0"/>
        <n v="1000.0"/>
        <n v="1200.0"/>
        <n v="2000.0"/>
        <n v="1500.0"/>
        <n v="2500.0"/>
        <n v="1800.0"/>
        <n v="1100.0"/>
        <n v="1400.0"/>
        <n v="1600.0"/>
        <n v="900.0"/>
        <n v="2200.0"/>
        <n v="2300.0"/>
        <n v="2400.0"/>
        <n v="2100.0"/>
        <n v="2800.0"/>
        <n v="1300.0"/>
        <n v="1700.0"/>
        <n v="3000.0"/>
        <n v="700.0"/>
        <n v="1900.0"/>
        <n v="2600.0"/>
        <n v="2700.0"/>
      </sharedItems>
    </cacheField>
    <cacheField name="Pending" numFmtId="3">
      <sharedItems containsSemiMixedTypes="0" containsString="0" containsNumber="1" containsInteger="1">
        <n v="500.0"/>
        <n v="200.0"/>
        <n v="300.0"/>
        <n v="0.0"/>
        <n v="1200.0"/>
        <n v="800.0"/>
        <n v="400.0"/>
        <n v="600.0"/>
      </sharedItems>
    </cacheField>
    <cacheField name="Fee Status" numFmtId="0">
      <sharedItems>
        <s v="PARTIAL"/>
        <s v="PAID"/>
      </sharedItems>
    </cacheField>
    <cacheField name="Admission Date" numFmtId="164">
      <sharedItems containsSemiMixedTypes="0" containsDate="1" containsString="0">
        <d v="2026-01-01T00:00:00Z"/>
        <d v="2026-01-02T00:00:00Z"/>
        <d v="2026-01-04T00:00:00Z"/>
        <d v="2026-01-06T00:00:00Z"/>
        <d v="2026-01-08T00:00:00Z"/>
        <d v="2026-01-10T00:00:00Z"/>
        <d v="2026-01-12T00:00:00Z"/>
        <d v="2026-01-14T00:00:00Z"/>
        <d v="2026-01-16T00:00:00Z"/>
        <d v="2026-01-18T00:00:00Z"/>
        <d v="2026-01-23T00:00:00Z"/>
        <d v="2026-01-25T00:00:00Z"/>
        <d v="2026-01-27T00:00:00Z"/>
        <d v="2026-01-29T00:00:00Z"/>
        <d v="2026-01-31T00:00:00Z"/>
        <d v="2026-02-02T00:00:00Z"/>
        <d v="2026-02-04T00:00:00Z"/>
        <d v="2026-02-06T00:00:00Z"/>
        <d v="2026-02-08T00:00:00Z"/>
        <d v="2026-02-10T00:00:00Z"/>
        <d v="2026-02-12T00:00:00Z"/>
        <d v="2026-02-14T00:00:00Z"/>
        <d v="2026-02-16T00:00:00Z"/>
        <d v="2026-02-18T00:00:00Z"/>
        <d v="2026-02-20T00:00:00Z"/>
        <d v="2026-02-22T00:00:00Z"/>
        <d v="2026-02-24T00:00:00Z"/>
        <d v="2026-02-26T00:00:00Z"/>
        <d v="2026-02-28T00:00:00Z"/>
        <d v="2026-03-02T00:00:00Z"/>
        <d v="2026-03-04T00:00:00Z"/>
        <d v="2026-03-06T00:00:00Z"/>
        <d v="2026-03-08T00:00:00Z"/>
        <d v="2026-03-10T00:00:00Z"/>
        <d v="2026-03-12T00:00:00Z"/>
        <d v="2026-03-14T00:00:00Z"/>
        <d v="2026-03-16T00:00:00Z"/>
        <d v="2026-03-18T00:00:00Z"/>
        <d v="2026-03-20T00:00:00Z"/>
        <d v="2026-03-22T00:00:00Z"/>
        <d v="2026-03-24T00:00:00Z"/>
        <d v="2026-03-26T00:00:00Z"/>
        <d v="2026-03-28T00:00:00Z"/>
        <d v="2026-03-30T00:00:00Z"/>
        <d v="2026-04-01T00:00:00Z"/>
        <d v="2026-04-03T00:00:00Z"/>
        <d v="2026-04-05T00:00:00Z"/>
        <d v="2026-04-07T00:00:00Z"/>
        <d v="2026-04-09T00:00:00Z"/>
        <d v="2026-04-11T00:00:00Z"/>
        <d v="2026-04-13T00:00:00Z"/>
        <d v="2026-04-15T00:00:00Z"/>
        <d v="2026-04-17T00:00:00Z"/>
        <d v="2026-04-19T00:00:00Z"/>
        <d v="2026-04-21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52" sheet="Teachers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Teacher Name" numFmtId="0">
      <sharedItems>
        <s v="Miss Aiman Sheikh"/>
        <s v="Miss Aleena Shah"/>
        <s v="Miss Alina Yousaf"/>
        <s v="Miss Anum Zahra"/>
        <s v="Miss Ayesha Iqbal"/>
        <s v="Miss Dua Arif"/>
        <s v="Miss Eman Raza"/>
        <s v="Miss Fatima Saeed"/>
        <s v="Miss Hina Mehmood"/>
        <s v="Miss Hira Shah"/>
        <s v="Miss Kinza Javed"/>
        <s v="Miss Komal Ali"/>
        <s v="Miss Laiba Rehman"/>
        <s v="Miss Mahnoor Saeed"/>
        <s v="Miss Maryam Raza"/>
        <s v="Miss Nimra Khan"/>
        <s v="Miss Noor Bibi"/>
        <s v="Miss Rabia Mehmood"/>
        <s v="Miss Rida Raza"/>
        <s v="Miss Saba Malik"/>
        <s v="Miss Sadaf Khan"/>
        <s v="Miss Sana Iqbal"/>
        <s v="Miss Sara Khan"/>
        <s v="Miss Yusra Noor"/>
        <s v="Miss Zainab Khan"/>
        <s v="Sir Adeel Khan"/>
        <s v="Sir Ahmed Karim"/>
        <s v="Sir Ali Ahmed"/>
        <s v="Sir Arslan Haider"/>
        <s v="Sir Asif Khan"/>
        <s v="Sir Bilal Wahid"/>
        <s v="Sir Danish Ahmed"/>
        <s v="Sir Fahad Ali"/>
        <s v="Sir Farhan Khan"/>
        <s v="Sir Hamza Ahmed"/>
        <s v="Sir Hassan Ali"/>
        <s v="Sir Imran Ahmed"/>
        <s v="Sir Kashif Hussain"/>
        <s v="Sir Naveed Ahmed"/>
        <s v="Sir Orhaan Ahmed"/>
        <s v="Sir Rehan Nawaz"/>
        <s v="Sir Rizwan Shah"/>
        <s v="Sir Saad Hussain"/>
        <s v="Sir Salman Ahmed"/>
        <s v="Sir Shahid Khan"/>
        <s v="Sir Talha Raza"/>
        <s v="Sir Usman Rasool"/>
        <s v="Sir Waqas Ahmed"/>
        <s v="Sir Yasir Khan"/>
        <s v="Sir Zain Shah"/>
      </sharedItems>
    </cacheField>
    <cacheField name="Father Name" numFmtId="0">
      <sharedItems>
        <s v="Muhammad Jamil"/>
        <s v="Bashir Ahmed"/>
        <s v="Muhammad Ismail"/>
        <s v="Muhammad Shabbir"/>
        <s v="Muhammad Rauf"/>
        <s v="Muhammad Ramzan"/>
        <s v="Tariq Mehmood"/>
        <s v="Muhammad Ayub"/>
        <s v="Muhammad Riaz"/>
        <s v="Muhammad Mushtaq"/>
        <s v="Muhammad Ishaq"/>
        <s v="Muhammad Yaqoob"/>
        <s v="Muhammad Zafar"/>
        <s v="Muhammad Anwar"/>
        <s v="Liaqat Ali"/>
        <s v="Muhammad Hanif"/>
        <s v="Abdul Sattar"/>
        <s v="Shahid Iqbal"/>
        <s v="Muhammad Afzal"/>
        <s v="Muhammad Idrees"/>
        <s v="Muhammad Ashraf"/>
        <s v="Muhammad Nadeem"/>
        <s v="Asif Mehmood"/>
        <s v="Muhammad Ilyas"/>
        <s v="Muhammad Siddique"/>
        <s v="Muhammad Saleem"/>
        <s v="Muhammad Ameen"/>
        <s v="Muhammad Nazir"/>
        <s v="Abdul Hameed"/>
        <s v="Muhammad Bashir"/>
      </sharedItems>
    </cacheField>
    <cacheField name="Subject" numFmtId="0">
      <sharedItems>
        <s v="Punjabi"/>
        <s v="Spoken English"/>
        <s v="Software Engineering"/>
        <s v="Organic Chemistry"/>
        <s v="Mathematics"/>
        <s v="Geometry"/>
        <s v="Literature"/>
        <s v="Chemistry"/>
        <s v="Accounting"/>
        <s v="Computer Science"/>
        <s v="Statistics"/>
        <s v="Health &amp; Hygiene"/>
        <s v="Education"/>
        <s v="Information Technology"/>
        <s v="General Science"/>
        <s v="Sociology"/>
        <s v="Moral Science"/>
        <s v="Islamic Studies"/>
        <s v="Physics"/>
        <s v="Web Development"/>
        <s v="Library Science"/>
        <s v="Geography"/>
        <s v="Quran Studies"/>
        <s v="Biology"/>
        <s v="Islamiat"/>
        <s v="Sindhi"/>
        <s v="English"/>
        <s v="Electronics"/>
        <s v="Programming"/>
        <s v="Pakistan Studies"/>
        <s v="Environmental Science"/>
        <s v="Civics"/>
        <s v="Physical Education"/>
        <s v="Economics"/>
        <s v="Urdu"/>
        <s v="Business Studies"/>
        <s v="Database Systems"/>
        <s v="Algebra"/>
        <s v="Robotics"/>
        <s v="Arabic"/>
        <s v="Hadith Studies"/>
        <s v="Inorganic Chemistry"/>
        <s v="History"/>
        <s v="Calculus"/>
        <s v="Zoology"/>
        <s v="Grammar"/>
        <s v="Creative Writing"/>
        <s v="Art &amp; Drawing"/>
      </sharedItems>
    </cacheField>
    <cacheField name="Qualification" numFmtId="0">
      <sharedItems>
        <s v="MA"/>
        <s v="BS"/>
        <s v="BA"/>
        <s v="MSc"/>
        <s v="MEd"/>
        <s v="MPhil"/>
        <s v="MCom"/>
        <s v="PhD"/>
        <s v="BSc"/>
        <s v="MBA"/>
        <s v="MS"/>
        <s v="Diploma"/>
        <s v="ADE"/>
        <s v="BCom"/>
        <s v="BBA"/>
        <s v="BEd"/>
      </sharedItems>
    </cacheField>
    <cacheField name="Joining Date" numFmtId="164">
      <sharedItems containsSemiMixedTypes="0" containsDate="1" containsString="0">
        <d v="2021-04-08T00:00:00Z"/>
        <d v="2022-07-15T00:00:00Z"/>
        <d v="2023-10-22T00:00:00Z"/>
        <d v="2024-01-01T00:00:00Z"/>
        <d v="2020-04-08T00:00:00Z"/>
        <d v="2021-07-15T00:00:00Z"/>
        <d v="2022-10-22T00:00:00Z"/>
        <d v="2023-01-01T00:00:00Z"/>
        <d v="2024-04-08T00:00:00Z"/>
        <d v="2020-07-15T00:00:00Z"/>
        <d v="2021-10-22T00:00:00Z"/>
        <d v="2022-01-01T00:00:00Z"/>
        <d v="2023-04-08T00:00:00Z"/>
        <d v="2024-07-15T00:00:00Z"/>
        <d v="2020-10-22T00:00:00Z"/>
        <d v="2021-01-01T00:00:00Z"/>
        <d v="2022-04-08T00:00:00Z"/>
        <d v="2023-07-15T00:00:00Z"/>
        <d v="2024-10-22T00:00:00Z"/>
        <d v="2020-01-01T00:00:00Z"/>
      </sharedItems>
    </cacheField>
    <cacheField name="Monthly Salary" numFmtId="3">
      <sharedItems containsSemiMixedTypes="0" containsString="0" containsNumber="1" containsInteger="1">
        <n v="46300.0"/>
        <n v="47600.0"/>
        <n v="48900.0"/>
        <n v="50200.0"/>
        <n v="51500.0"/>
        <n v="52800.0"/>
        <n v="54100.0"/>
        <n v="55400.0"/>
        <n v="56700.0"/>
        <n v="58000.0"/>
        <n v="59300.0"/>
        <n v="60600.0"/>
        <n v="61900.0"/>
        <n v="63200.0"/>
        <n v="64500.0"/>
        <n v="65800.0"/>
        <n v="67100.0"/>
        <n v="68400.0"/>
        <n v="69700.0"/>
        <n v="71000.0"/>
        <n v="72300.0"/>
        <n v="73600.0"/>
        <n v="74900.0"/>
        <n v="76200.0"/>
        <n v="77500.0"/>
        <n v="78800.0"/>
        <n v="80100.0"/>
        <n v="81400.0"/>
        <n v="82700.0"/>
        <n v="84000.0"/>
        <n v="85300.0"/>
        <n v="86600.0"/>
        <n v="87900.0"/>
        <n v="89200.0"/>
        <n v="90500.0"/>
        <n v="91800.0"/>
        <n v="93100.0"/>
        <n v="94400.0"/>
        <n v="95700.0"/>
        <n v="97000.0"/>
        <n v="98300.0"/>
        <n v="99600.0"/>
        <n v="100900.0"/>
        <n v="102200.0"/>
        <n v="103500.0"/>
        <n v="104800.0"/>
        <n v="106100.0"/>
        <n v="107400.0"/>
        <n v="108700.0"/>
        <n v="110000.0"/>
      </sharedItems>
    </cacheField>
    <cacheField name="Status" numFmtId="0">
      <sharedItems>
        <s v="Absent"/>
        <s v="Leave"/>
        <s v="Present"/>
      </sharedItems>
    </cacheField>
    <cacheField name="Address" numFmtId="0">
      <sharedItems>
        <s v="Orangi Town Sector 8, Karachi"/>
        <s v="Gulistan-e-Johar Block 7, Karachi"/>
        <s v="Orangi Sector 15, Karachi"/>
        <s v="Clifton Block 5, Karachi"/>
        <s v="Nazimabad Block 3, Karachi"/>
        <s v="Baldia Town, Karachi"/>
        <s v="PECHS, Karachi"/>
        <s v="Surjani Town, Karachi"/>
        <s v="Gulistan-e-Johar, Karachi"/>
        <s v="Gulshan Block 4, Karachi"/>
        <s v="Korangi Crossing, Karachi"/>
        <s v="Landhi Colony, Karachi"/>
        <s v="New Karachi Sector 5, Karachi"/>
        <s v="North Nazimabad, Karachi"/>
        <s v="DHA Phase 4, Karachi"/>
        <s v="DHA Phase 8, Karachi"/>
        <s v="Gulshan Block 13, Karachi"/>
        <s v="Scheme 33 Sector 15, Karachi"/>
        <s v="Malir Model Colony, Karachi"/>
        <s v="Buffer Zone, Karachi"/>
        <s v="Clifton Block 8, Karachi"/>
        <s v="Saddar Area, Karachi"/>
        <s v="SITE Area, Karachi"/>
        <s v="DHA Phase 6, Karachi"/>
        <s v="Nazimabad Block 5, Karachi"/>
        <s v="New Karachi Sector 11, Karachi"/>
        <s v="Landhi Sector 6, Karachi"/>
        <s v="Korangi Sector 33, Karachi"/>
        <s v="Gulshan Block 7, Karachi"/>
        <s v="Landhi, Karachi"/>
        <s v="Gulshan-e-Maymar, Karachi"/>
      </sharedItems>
    </cacheField>
    <cacheField name="Contact" numFmtId="0">
      <sharedItems>
        <s v="0338-5471919"/>
        <s v="0309-9631196"/>
        <s v="0340-8779007"/>
        <s v="0339-2494877"/>
        <s v="0340-6749420"/>
        <s v="0330-8469767"/>
        <s v="0315-7010974"/>
        <s v="0341-9793751"/>
        <s v="0311-3941491"/>
        <s v="0326-4418565"/>
        <s v="0325-8631431"/>
        <s v="0332-1465432"/>
        <s v="0311-1171561"/>
        <s v="0304-7920666"/>
        <s v="0321-1243482"/>
        <s v="0301-2841653"/>
        <s v="0345-9180875"/>
        <s v="0303-3609630"/>
        <s v="0325-2503311"/>
        <s v="0313-1983983"/>
        <s v="0338-4903818"/>
        <s v="0323-8777161"/>
        <s v="0323-3583589"/>
        <s v="0331-6334608"/>
        <s v="0315-4372523"/>
        <s v="0339-8209752"/>
        <s v="0312-3527016"/>
        <s v="0321-7295178"/>
        <s v="0333-2343670"/>
        <s v="0303-8299304"/>
        <s v="0333-2838923"/>
        <s v="0349-9703611"/>
        <s v="0335-2192459"/>
        <s v="0344-8792958"/>
        <s v="0339-3915676"/>
        <s v="0300-9305368"/>
        <s v="0331-2533707"/>
        <s v="0323-2171036"/>
        <s v="0318-1488194"/>
        <s v="0331-5640481"/>
        <s v="0330-5398341"/>
        <s v="0305-5095726"/>
        <s v="0312-3890264"/>
        <s v="0307-2987224"/>
        <s v="0334-3799577"/>
        <s v="0349-1921165"/>
        <s v="0322-4326186"/>
        <s v="0307-4020729"/>
        <s v="0317-6635712"/>
        <s v="0315-738896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57" sheet="Attendance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</sharedItems>
    </cacheField>
    <cacheField name="Date" numFmtId="164">
      <sharedItems containsSemiMixedTypes="0" containsDate="1" containsString="0">
        <d v="2026-05-01T00:00:00Z"/>
      </sharedItems>
    </cacheField>
    <cacheField name="Student ID" numFmtId="0">
      <sharedItems>
        <s v="ST001"/>
        <s v="ST002"/>
        <s v="ST003"/>
        <s v="ST004"/>
        <s v="ST005"/>
        <s v="ST006"/>
        <s v="ST007"/>
        <s v="ST008"/>
        <s v="ST009"/>
        <s v="ST010"/>
        <s v="ST011"/>
        <s v="ST012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</sharedItems>
    </cacheField>
    <cacheField name="Student Name" numFmtId="0">
      <sharedItems>
        <s v="Abdullah"/>
        <s v="Adnan"/>
        <s v="Ahmed"/>
        <s v="Aleena"/>
        <s v="Ali"/>
        <s v="Alina"/>
        <s v="Amna"/>
        <s v="Anaya"/>
        <s v="Areeba"/>
        <s v="Arslan"/>
        <s v="Asad"/>
        <s v="Ayaan"/>
        <s v="Ayesha"/>
        <s v="Bilal"/>
        <s v="Daniyal"/>
        <s v="Dua"/>
        <s v="Eman"/>
        <s v="Fahad"/>
        <s v="Faizan"/>
        <s v="Fatima"/>
        <s v="Hafsa"/>
        <s v="Hamza"/>
        <s v="Hania"/>
        <s v="Haris"/>
        <s v="Hassan"/>
        <s v="Hira"/>
        <s v="Imran"/>
        <s v="Iqra"/>
        <s v="Junaid"/>
        <s v="Khadija"/>
        <s v="Kinza"/>
        <s v="Laiba"/>
        <s v="Maham"/>
        <s v="Maryam"/>
        <s v="Mehak"/>
        <s v="Minahil"/>
        <s v="Mustafa"/>
        <s v="Nimra"/>
        <s v="Noor"/>
        <s v="Rabia"/>
        <s v="Rayyan"/>
        <s v="Rizwan"/>
        <s v="Saad"/>
        <s v="Saba"/>
        <s v="Salman"/>
        <s v="Sana"/>
        <s v="Shahzaib"/>
        <s v="Taha"/>
        <s v="Talha"/>
        <s v="Umar"/>
        <s v="Usman"/>
        <s v="Waqas"/>
        <s v="Zain"/>
        <s v="Zainab"/>
        <s v="Zara"/>
      </sharedItems>
    </cacheField>
    <cacheField name="Father Name" numFmtId="0">
      <sharedItems>
        <s v="Muhammad Aslam"/>
        <s v="Muhammad Iqbal"/>
        <s v="Abdul Rehman"/>
        <s v="Muhammad Yousaf"/>
        <s v="Khalid Mehmood"/>
        <s v="Muhammad Arshad"/>
        <s v="Rashid Ahmed"/>
        <s v="Muhammad Akram"/>
        <s v="Javed Iqbal"/>
        <s v="Muhammad Naveed"/>
        <s v="Tariq Mehmood"/>
        <s v="Muhammad Saleem"/>
        <s v="Abdul Qadir"/>
        <s v="Muhammad Hanif"/>
        <s v="Ghulam Mustafa"/>
        <s v="Muhammad Ashraf"/>
        <s v="Muhammad Shafiq"/>
        <s v="Bashir Ahmed"/>
        <s v="Muhammad Riaz"/>
        <s v="Abdul Hameed"/>
        <s v="Muhammad Farooq"/>
        <s v="Muhammad Jamil"/>
        <s v="Shahid Iqbal"/>
        <s v="Muhammad Nadeem"/>
        <s v="Muhammad Anwar"/>
        <s v="Asif Mehmood"/>
        <s v="Muhammad Sarwar"/>
        <s v="Muhammad Sajid"/>
        <s v="Liaqat Ali"/>
        <s v="Muhammad Latif"/>
        <s v="Muhammad Ishaq"/>
        <s v="Abdul Sattar"/>
        <s v="Muhammad Bashir"/>
        <s v="Muhammad Rafiq"/>
        <s v="Muhammad Idrees"/>
        <s v="Muhammad Yaqoob"/>
        <s v="Ghulam Rasool"/>
        <s v="Muhammad Nawaz"/>
        <s v="Muhammad Rauf"/>
        <s v="Muhammad Afzal"/>
        <s v="Muhammad Shabbir"/>
        <s v="Muhammad Munir"/>
        <s v="Muhammad Ilyas"/>
        <s v="Muhammad Zafar"/>
        <s v="Muhammad Arif"/>
        <s v="Muhammad Nazir"/>
        <s v="Muhammad Siddique"/>
        <s v="Muhammad Tariq"/>
        <s v="Muhammad Ameen"/>
        <s v="Muhammad Ayub"/>
        <s v="Muhammad Ramzan"/>
        <s v="Muhammad Yasin"/>
        <s v="Muhammad Mushtaq"/>
        <s v="Muhammad Ismail"/>
        <s v="Muhammad Shakeel"/>
      </sharedItems>
    </cacheField>
    <cacheField name="Attendance" numFmtId="0">
      <sharedItems>
        <s v="Absent"/>
        <s v="Present"/>
      </sharedItems>
    </cacheField>
    <cacheField name="Leave Status" numFmtId="0">
      <sharedItems>
        <s v="Leave"/>
        <s v="Present"/>
        <s v="Absent"/>
      </sharedItems>
    </cacheField>
    <cacheField name="Late Status" numFmtId="0">
      <sharedItems>
        <s v="Absent"/>
        <s v="Late"/>
        <s v="On Time"/>
      </sharedItems>
    </cacheField>
    <cacheField name="Contact" numFmtId="0">
      <sharedItems>
        <s v="0300-1000001"/>
        <s v="0300-1000002"/>
        <s v="0300-1000003"/>
        <s v="0300-1000004"/>
        <s v="0300-1000005"/>
        <s v="0300-1000006"/>
        <s v="0300-1000007"/>
        <s v="0300-1000008"/>
        <s v="0300-1000009"/>
        <s v="0300-1000010"/>
        <s v="0300-1000011"/>
        <s v="0300-1000012"/>
        <s v="0300-1000013"/>
        <s v="0300-1000014"/>
        <s v="0300-1000015"/>
        <s v="0300-1000016"/>
        <s v="0300-1000017"/>
        <s v="0300-1000018"/>
        <s v="0300-1000019"/>
        <s v="0300-1000020"/>
        <s v="0300-1000021"/>
        <s v="0300-1000022"/>
        <s v="0300-1000023"/>
        <s v="0300-1000024"/>
        <s v="0300-1000025"/>
        <s v="0300-1000026"/>
        <s v="0300-1000027"/>
        <s v="0300-1000028"/>
        <s v="0300-1000029"/>
        <s v="0300-1000030"/>
        <s v="0300-1000031"/>
        <s v="0300-1000032"/>
        <s v="0300-1000033"/>
        <s v="0300-1000034"/>
        <s v="0300-1000035"/>
        <s v="0300-1000036"/>
        <s v="0300-1000037"/>
        <s v="0300-1000038"/>
        <s v="0300-1000039"/>
        <s v="0300-1000040"/>
        <s v="0300-1000041"/>
        <s v="0300-1000042"/>
        <s v="0300-1000043"/>
        <s v="0300-1000044"/>
        <s v="0300-1000045"/>
        <s v="0300-1000046"/>
        <s v="0300-1000047"/>
        <s v="0300-1000048"/>
        <s v="0300-1000049"/>
        <s v="0300-1000050"/>
        <s v="0300-1000051"/>
        <s v="0300-1000052"/>
        <s v="0300-1000053"/>
        <s v="0300-1000054"/>
        <s v="0300-1000055"/>
      </sharedItems>
    </cacheField>
    <cacheField name="Remarks" numFmtId="0">
      <sharedItems>
        <s v="Needs follow-up"/>
        <s v="Late arrival"/>
        <s v="Good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56" sheet="Fees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</sharedItems>
    </cacheField>
    <cacheField name="Student ID" numFmtId="0">
      <sharedItems>
        <s v="ST001"/>
        <s v="ST002"/>
        <s v="ST003"/>
        <s v="ST004"/>
        <s v="ST005"/>
        <s v="ST006"/>
        <s v="ST007"/>
        <s v="ST008"/>
        <s v="ST009"/>
        <s v="ST010"/>
        <s v="ST011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</sharedItems>
    </cacheField>
    <cacheField name="Student Name" numFmtId="0">
      <sharedItems>
        <s v="Abdullah"/>
        <s v="Adnan"/>
        <s v="Ahmed"/>
        <s v="Aleena"/>
        <s v="Ali"/>
        <s v="Alina"/>
        <s v="Amna"/>
        <s v="Anaya"/>
        <s v="Areeba"/>
        <s v="Arslan"/>
        <s v="Asad"/>
        <s v="Ayesha"/>
        <s v="Bilal"/>
        <s v="Daniyal"/>
        <s v="Dua"/>
        <s v="Eman"/>
        <s v="Fahad"/>
        <s v="Faizan"/>
        <s v="Fatima"/>
        <s v="Hafsa"/>
        <s v="Hamza"/>
        <s v="Hania"/>
        <s v="Haris"/>
        <s v="Hassan"/>
        <s v="Hira"/>
        <s v="Imran"/>
        <s v="Iqra"/>
        <s v="Junaid"/>
        <s v="Khadija"/>
        <s v="Kinza"/>
        <s v="Laiba"/>
        <s v="Maham"/>
        <s v="Maryam"/>
        <s v="Mehak"/>
        <s v="Minahil"/>
        <s v="Mustafa"/>
        <s v="Nimra"/>
        <s v="Noor"/>
        <s v="Rabia"/>
        <s v="Rayyan"/>
        <s v="Rizwan"/>
        <s v="Saad"/>
        <s v="Saba"/>
        <s v="Salman"/>
        <s v="Sana"/>
        <s v="Shahzaib"/>
        <s v="Taha"/>
        <s v="Talha"/>
        <s v="Umar"/>
        <s v="Usman"/>
        <s v="Waqas"/>
        <s v="Zain"/>
        <s v="Zainab"/>
        <s v="Zara"/>
      </sharedItems>
    </cacheField>
    <cacheField name="Month" numFmtId="0">
      <sharedItems>
        <s v="January"/>
      </sharedItems>
    </cacheField>
    <cacheField name="Total Fees" numFmtId="3">
      <sharedItems containsSemiMixedTypes="0" containsString="0" containsNumber="1" containsInteger="1">
        <n v="1000.0"/>
        <n v="1200.0"/>
        <n v="1500.0"/>
        <n v="2000.0"/>
        <n v="1800.0"/>
        <n v="2500.0"/>
        <n v="3000.0"/>
        <n v="1100.0"/>
        <n v="1400.0"/>
        <n v="1600.0"/>
        <n v="1700.0"/>
        <n v="2200.0"/>
        <n v="2300.0"/>
        <n v="2400.0"/>
        <n v="2600.0"/>
        <n v="2800.0"/>
        <n v="2100.0"/>
        <n v="1900.0"/>
        <n v="1300.0"/>
        <n v="2700.0"/>
      </sharedItems>
    </cacheField>
    <cacheField name="Paid Amount" numFmtId="3">
      <sharedItems containsSemiMixedTypes="0" containsString="0" containsNumber="1" containsInteger="1">
        <n v="500.0"/>
        <n v="1000.0"/>
        <n v="1200.0"/>
        <n v="2000.0"/>
        <n v="1500.0"/>
        <n v="2500.0"/>
        <n v="1800.0"/>
        <n v="1100.0"/>
        <n v="1400.0"/>
        <n v="1600.0"/>
        <n v="900.0"/>
        <n v="2200.0"/>
        <n v="2300.0"/>
        <n v="2400.0"/>
        <n v="2100.0"/>
        <n v="2800.0"/>
        <n v="1300.0"/>
        <n v="1700.0"/>
        <n v="3000.0"/>
        <n v="700.0"/>
        <n v="1900.0"/>
        <n v="2600.0"/>
        <n v="2700.0"/>
      </sharedItems>
    </cacheField>
    <cacheField name="Pending Amount" numFmtId="3">
      <sharedItems containsSemiMixedTypes="0" containsString="0" containsNumber="1" containsInteger="1">
        <n v="500.0"/>
        <n v="200.0"/>
        <n v="300.0"/>
        <n v="0.0"/>
        <n v="1200.0"/>
        <n v="800.0"/>
        <n v="400.0"/>
        <n v="600.0"/>
      </sharedItems>
    </cacheField>
    <cacheField name="Status" numFmtId="0">
      <sharedItems>
        <s v="PARTIAL"/>
        <s v="PAID"/>
      </sharedItems>
    </cacheField>
    <cacheField name="Contact" numFmtId="0">
      <sharedItems>
        <s v="0300-1000001"/>
        <s v="0300-1000002"/>
        <s v="0300-1000003"/>
        <s v="0300-1000004"/>
        <s v="0300-1000005"/>
        <s v="0300-1000006"/>
        <s v="0300-1000007"/>
        <s v="0300-1000008"/>
        <s v="0300-1000009"/>
        <s v="0300-1000010"/>
        <s v="0300-1000011"/>
        <s v="0300-1000013"/>
        <s v="0300-1000014"/>
        <s v="0300-1000015"/>
        <s v="0300-1000016"/>
        <s v="0300-1000017"/>
        <s v="0300-1000018"/>
        <s v="0300-1000019"/>
        <s v="0300-1000020"/>
        <s v="0300-1000021"/>
        <s v="0300-1000022"/>
        <s v="0300-1000023"/>
        <s v="0300-1000024"/>
        <s v="0300-1000025"/>
        <s v="0300-1000026"/>
        <s v="0300-1000027"/>
        <s v="0300-1000028"/>
        <s v="0300-1000029"/>
        <s v="0300-1000030"/>
        <s v="0300-1000031"/>
        <s v="0300-1000032"/>
        <s v="0300-1000033"/>
        <s v="0300-1000034"/>
        <s v="0300-1000035"/>
        <s v="0300-1000036"/>
        <s v="0300-1000037"/>
        <s v="0300-1000038"/>
        <s v="0300-1000039"/>
        <s v="0300-1000040"/>
        <s v="0300-1000041"/>
        <s v="0300-1000042"/>
        <s v="0300-1000043"/>
        <s v="0300-1000044"/>
        <s v="0300-1000045"/>
        <s v="0300-1000046"/>
        <s v="0300-1000047"/>
        <s v="0300-1000048"/>
        <s v="0300-1000049"/>
        <s v="0300-1000050"/>
        <s v="0300-1000051"/>
        <s v="0300-1000052"/>
        <s v="0300-1000053"/>
        <s v="0300-1000054"/>
        <s v="0300-1000055"/>
      </sharedItems>
    </cacheField>
    <cacheField name="Payment Date" numFmtId="164">
      <sharedItems containsSemiMixedTypes="0" containsDate="1" containsString="0">
        <d v="2026-01-03T00:00:00Z"/>
        <d v="2026-01-05T00:00:00Z"/>
        <d v="2026-01-07T00:00:00Z"/>
        <d v="2026-01-09T00:00:00Z"/>
        <d v="2026-01-11T00:00:00Z"/>
        <d v="2026-01-13T00:00:00Z"/>
        <d v="2026-01-15T00:00:00Z"/>
        <d v="2026-01-17T00:00:00Z"/>
        <d v="2026-01-19T00:00:00Z"/>
        <d v="2026-01-21T00:00:00Z"/>
        <d v="2026-01-23T00:00:00Z"/>
        <d v="2026-01-27T00:00:00Z"/>
        <d v="2026-01-01T00:00:00Z"/>
        <d v="2026-01-25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tudents" cacheId="0" dataCaption="" compact="0" compactData="0">
  <location ref="S5:V61" firstHeaderRow="0" firstDataRow="3" firstDataCol="0" rowPageCount="2" colPageCount="1"/>
  <pivotFields>
    <pivotField name="s,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Student ID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t="default"/>
      </items>
    </pivotField>
    <pivotField name="Studen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Fath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tion" compact="0" outline="0" multipleItemSelectionAllowed="1" showAll="0">
      <items>
        <item x="0"/>
        <item x="1"/>
        <item x="2"/>
        <item x="3"/>
        <item t="default"/>
      </items>
    </pivotField>
    <pivotField name="Roll N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otal Classes" compact="0" outline="0" multipleItemSelectionAllowed="1" showAll="0">
      <items>
        <item x="0"/>
        <item t="default"/>
      </items>
    </pivotField>
    <pivotField name="Present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ttendance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Eligibility" compact="0" outline="0" multipleItemSelectionAllowed="1" showAll="0">
      <items>
        <item x="0"/>
        <item x="1"/>
        <item t="default"/>
      </items>
    </pivotField>
    <pivotField name="Conta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Fee Amou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id Amou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ending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ee Status" axis="axisPage" dataField="1" compact="0" outline="0" multipleItemSelectionAllowed="1" showAll="0">
      <items>
        <item x="0"/>
        <item x="1"/>
        <item t="default"/>
      </items>
    </pivotField>
    <pivotField name="Admiss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1"/>
    <field x="2"/>
    <field x="11"/>
  </rowFields>
  <pageFields>
    <pageField fld="16"/>
    <pageField fld="6"/>
  </pageFields>
  <dataFields>
    <dataField name="COUNTA of Fee Status" fld="16" subtotal="count" baseField="0"/>
  </dataFields>
</pivotTableDefinition>
</file>

<file path=xl/pivotTables/pivotTable2.xml><?xml version="1.0" encoding="utf-8"?>
<pivotTableDefinition xmlns="http://schemas.openxmlformats.org/spreadsheetml/2006/main" name="Teachers" cacheId="1" dataCaption="" compact="0" compactData="0">
  <location ref="K2:Q53" firstHeaderRow="0" firstDataRow="5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eacher Name" axis="axisRow" dataField="1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t="default"/>
      </items>
    </pivotField>
    <pivotField name="Fath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Qualif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oining Date" axis="axisRow" compact="0" numFmtId="164" outline="0" multipleItemSelectionAllowed="1" showAll="0" sortType="ascending">
      <items>
        <item x="19"/>
        <item x="4"/>
        <item x="9"/>
        <item x="14"/>
        <item x="15"/>
        <item x="0"/>
        <item x="5"/>
        <item x="10"/>
        <item x="11"/>
        <item x="16"/>
        <item x="1"/>
        <item x="6"/>
        <item x="7"/>
        <item x="12"/>
        <item x="17"/>
        <item x="2"/>
        <item x="3"/>
        <item x="8"/>
        <item x="13"/>
        <item x="18"/>
        <item t="default"/>
      </items>
    </pivotField>
    <pivotField name="Monthly Salar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Row" compact="0" outline="0" multipleItemSelectionAllowed="1" showAll="0" sortType="ascending">
      <items>
        <item x="0"/>
        <item x="1"/>
        <item x="2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ntact" axis="axisRow" dataField="1" compact="0" outline="0" multipleItemSelectionAllowed="1" showAll="0" sortType="ascending">
      <items>
        <item x="35"/>
        <item x="15"/>
        <item x="17"/>
        <item x="29"/>
        <item x="13"/>
        <item x="41"/>
        <item x="43"/>
        <item x="47"/>
        <item x="1"/>
        <item x="12"/>
        <item x="8"/>
        <item x="26"/>
        <item x="42"/>
        <item x="19"/>
        <item x="24"/>
        <item x="6"/>
        <item x="49"/>
        <item x="48"/>
        <item x="38"/>
        <item x="14"/>
        <item x="27"/>
        <item x="46"/>
        <item x="37"/>
        <item x="22"/>
        <item x="21"/>
        <item x="18"/>
        <item x="10"/>
        <item x="9"/>
        <item x="40"/>
        <item x="5"/>
        <item x="36"/>
        <item x="39"/>
        <item x="23"/>
        <item x="11"/>
        <item x="28"/>
        <item x="30"/>
        <item x="44"/>
        <item x="32"/>
        <item x="20"/>
        <item x="0"/>
        <item x="3"/>
        <item x="34"/>
        <item x="25"/>
        <item x="4"/>
        <item x="2"/>
        <item x="7"/>
        <item x="33"/>
        <item x="16"/>
        <item x="45"/>
        <item x="31"/>
        <item t="default"/>
      </items>
    </pivotField>
  </pivotFields>
  <rowFields>
    <field x="1"/>
    <field x="9"/>
    <field x="5"/>
    <field x="7"/>
  </rowFields>
  <colFields>
    <field x="-2"/>
  </colFields>
  <dataFields>
    <dataField name="SUM of Monthly Salary" fld="6" baseField="0"/>
    <dataField name="COUNTA of Teacher Name" fld="1" subtotal="count" baseField="0"/>
    <dataField name="COUNTA of Contact" fld="9" subtotal="count" baseField="0"/>
  </dataFields>
</pivotTableDefinition>
</file>

<file path=xl/pivotTables/pivotTable3.xml><?xml version="1.0" encoding="utf-8"?>
<pivotTableDefinition xmlns="http://schemas.openxmlformats.org/spreadsheetml/2006/main" name="Attendance" cacheId="2" dataCaption="" compact="0" compactData="0">
  <location ref="K1:Q57" firstHeaderRow="0" firstDataRow="5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ate" compact="0" numFmtId="164" outline="0" multipleItemSelectionAllowed="1" showAll="0">
      <items>
        <item x="0"/>
        <item t="default"/>
      </items>
    </pivotField>
    <pivotField name="Student ID" axis="axisRow" dataField="1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t="default"/>
      </items>
    </pivotField>
    <pivotField name="Studen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Fath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ttendance" dataField="1" compact="0" outline="0" multipleItemSelectionAllowed="1" showAll="0">
      <items>
        <item x="0"/>
        <item x="1"/>
        <item t="default"/>
      </items>
    </pivotField>
    <pivotField name="Leave Status" compact="0" outline="0" multipleItemSelectionAllowed="1" showAll="0">
      <items>
        <item x="0"/>
        <item x="1"/>
        <item x="2"/>
        <item t="default"/>
      </items>
    </pivotField>
    <pivotField name="Late Status" compact="0" outline="0" multipleItemSelectionAllowed="1" showAll="0">
      <items>
        <item x="0"/>
        <item x="1"/>
        <item x="2"/>
        <item t="default"/>
      </items>
    </pivotField>
    <pivotField name="Conta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Remarks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2"/>
    <field x="3"/>
    <field x="9"/>
    <field x="8"/>
  </rowFields>
  <colFields>
    <field x="-2"/>
  </colFields>
  <dataFields>
    <dataField name="COUNTA of Student ID" fld="2" subtotal="count" baseField="0"/>
    <dataField name="COUNTA of Remarks" fld="9" subtotal="count" baseField="0"/>
    <dataField name="COUNTA of Attendance" fld="5" subtotal="count" baseField="0"/>
  </dataFields>
</pivotTableDefinition>
</file>

<file path=xl/pivotTables/pivotTable4.xml><?xml version="1.0" encoding="utf-8"?>
<pivotTableDefinition xmlns="http://schemas.openxmlformats.org/spreadsheetml/2006/main" name="Fees" cacheId="3" dataCaption="" compact="0" compactData="0">
  <location ref="K3:S58" firstHeaderRow="0" firstDataRow="7" firstDataCol="0" rowPageCount="1" colPageCount="1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tudent ID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t="default"/>
      </items>
    </pivotField>
    <pivotField name="Studen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Month" axis="axisRow" compact="0" outline="0" multipleItemSelectionAllowed="1" showAll="0" sortType="ascending">
      <items>
        <item x="0"/>
        <item t="default"/>
      </items>
    </pivotField>
    <pivotField name="Total Fees" axis="axisPag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id Amou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ending Amoun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" axis="axisRow" dataField="1" compact="0" outline="0" multipleItemSelectionAllowed="1" showAll="0" sortType="ascending">
      <items>
        <item x="1"/>
        <item x="0"/>
        <item t="default"/>
      </items>
    </pivotField>
    <pivotField name="Conta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ayment Date" axis="axisRow" compact="0" numFmtId="164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t="default"/>
      </items>
    </pivotField>
  </pivotFields>
  <rowFields>
    <field x="1"/>
    <field x="2"/>
    <field x="7"/>
    <field x="8"/>
    <field x="9"/>
    <field x="3"/>
  </rowFields>
  <colFields>
    <field x="-2"/>
  </colFields>
  <pageFields>
    <pageField fld="4"/>
  </pageFields>
  <dataFields>
    <dataField name="SUM of Total Fees" fld="4" baseField="0"/>
    <dataField name="COUNTA of Status" fld="7" subtotal="count" baseField="0"/>
    <dataField name="SUM of Pending Amount" fld="6" baseField="0"/>
  </dataFields>
</pivotTableDefinition>
</file>

<file path=xl/tables/table1.xml><?xml version="1.0" encoding="utf-8"?>
<table xmlns="http://schemas.openxmlformats.org/spreadsheetml/2006/main" ref="A2:R57" displayName="Table_1" name="Table_1" id="1">
  <tableColumns count="18">
    <tableColumn name="s,no" id="1"/>
    <tableColumn name="Student ID" id="2"/>
    <tableColumn name="Student Name" id="3"/>
    <tableColumn name="Father Name" id="4"/>
    <tableColumn name="Class" id="5"/>
    <tableColumn name="Section" id="6"/>
    <tableColumn name="Roll No" id="7"/>
    <tableColumn name="Total Classes" id="8"/>
    <tableColumn name="Present Days" id="9"/>
    <tableColumn name="Attendance %" id="10"/>
    <tableColumn name="Eligibility" id="11"/>
    <tableColumn name="Contact" id="12"/>
    <tableColumn name="Address" id="13"/>
    <tableColumn name="Fee Amount" id="14"/>
    <tableColumn name="Paid Amount" id="15"/>
    <tableColumn name="Pending" id="16"/>
    <tableColumn name="Fee Status" id="17"/>
    <tableColumn name="Admission Date" id="18"/>
  </tableColumns>
  <tableStyleInfo name="Students-style" showColumnStripes="0" showFirstColumn="1" showLastColumn="1" showRowStripes="1"/>
</table>
</file>

<file path=xl/tables/table2.xml><?xml version="1.0" encoding="utf-8"?>
<table xmlns="http://schemas.openxmlformats.org/spreadsheetml/2006/main" ref="A2:J52" displayName="Table_2" name="Table_2" id="2">
  <tableColumns count="10">
    <tableColumn name="S.No" id="1"/>
    <tableColumn name="Teacher Name" id="2"/>
    <tableColumn name="Father Name" id="3"/>
    <tableColumn name="Subject" id="4"/>
    <tableColumn name="Qualification" id="5"/>
    <tableColumn name="Joining Date" id="6"/>
    <tableColumn name="Monthly Salary" id="7"/>
    <tableColumn name="Status" id="8"/>
    <tableColumn name="Address" id="9"/>
    <tableColumn name="Contact" id="10"/>
  </tableColumns>
  <tableStyleInfo name="Teachers-style" showColumnStripes="0" showFirstColumn="1" showLastColumn="1" showRowStripes="1"/>
</table>
</file>

<file path=xl/tables/table3.xml><?xml version="1.0" encoding="utf-8"?>
<table xmlns="http://schemas.openxmlformats.org/spreadsheetml/2006/main" ref="A2:J57" displayName="Table_3" name="Table_3" id="3">
  <tableColumns count="10">
    <tableColumn name="S.No" id="1"/>
    <tableColumn name="Date" id="2"/>
    <tableColumn name="Student ID" id="3"/>
    <tableColumn name="Student Name" id="4"/>
    <tableColumn name="Father Name" id="5"/>
    <tableColumn name="Attendance" id="6"/>
    <tableColumn name="Leave Status" id="7"/>
    <tableColumn name="Late Status" id="8"/>
    <tableColumn name="Contact" id="9"/>
    <tableColumn name="Remarks" id="10"/>
  </tableColumns>
  <tableStyleInfo name="Attendance-style" showColumnStripes="0" showFirstColumn="1" showLastColumn="1" showRowStripes="1"/>
</table>
</file>

<file path=xl/tables/table4.xml><?xml version="1.0" encoding="utf-8"?>
<table xmlns="http://schemas.openxmlformats.org/spreadsheetml/2006/main" ref="A2:J56" displayName="Table_4" name="Table_4" id="4">
  <tableColumns count="10">
    <tableColumn name="S.No" id="1"/>
    <tableColumn name="Student ID" id="2"/>
    <tableColumn name="Student Name" id="3"/>
    <tableColumn name="Month" id="4"/>
    <tableColumn name="Total Fees" id="5"/>
    <tableColumn name="Paid Amount" id="6"/>
    <tableColumn name="Pending Amount" id="7"/>
    <tableColumn name="Status" id="8"/>
    <tableColumn name="Contact" id="9"/>
    <tableColumn name="Payment Date" id="10"/>
  </tableColumns>
  <tableStyleInfo name="F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0"/>
    <col customWidth="1" min="3" max="3" width="11.88"/>
    <col customWidth="1" min="4" max="4" width="18.88"/>
    <col customWidth="1" min="5" max="5" width="12.0"/>
    <col customWidth="1" min="6" max="6" width="9.0"/>
    <col customWidth="1" min="7" max="7" width="10.0"/>
    <col customWidth="1" min="8" max="8" width="10.5"/>
    <col customWidth="1" min="9" max="9" width="11.0"/>
    <col customWidth="1" min="10" max="10" width="12.13"/>
    <col customWidth="1" min="11" max="11" width="13.63"/>
    <col customWidth="1" min="12" max="12" width="15.0"/>
    <col customWidth="1" min="13" max="13" width="21.88"/>
    <col customWidth="1" min="14" max="14" width="11.38"/>
    <col customWidth="1" min="15" max="15" width="12.63"/>
    <col customWidth="1" min="16" max="16" width="10.88"/>
    <col customWidth="1" min="17" max="17" width="12.63"/>
    <col customWidth="1" min="18" max="18" width="16.13"/>
    <col customWidth="1" min="19" max="24" width="8.63"/>
    <col customWidth="1" min="25" max="25" width="16.63"/>
    <col customWidth="1" min="26" max="26" width="8.63"/>
  </cols>
  <sheetData>
    <row r="1" ht="78.0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1"/>
      <c r="K1" s="3"/>
      <c r="L1" s="3"/>
      <c r="M1" s="1"/>
      <c r="N1" s="1"/>
      <c r="O1" s="1"/>
      <c r="P1" s="1"/>
      <c r="Q1" s="1"/>
      <c r="R1" s="1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>
      <c r="A3" s="7">
        <v>1.0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>
        <v>1035.0</v>
      </c>
      <c r="H3" s="7">
        <v>100.0</v>
      </c>
      <c r="I3" s="7">
        <v>55.0</v>
      </c>
      <c r="J3" s="8">
        <f t="shared" ref="J3:J57" si="1">IF(H3=0,0,I3/H3)</f>
        <v>0.55</v>
      </c>
      <c r="K3" s="7" t="str">
        <f t="shared" ref="K3:K57" si="2">IF(J3&gt;=0.7,"ELIGIBLE","NOT ELIGIBLE")</f>
        <v>NOT ELIGIBLE</v>
      </c>
      <c r="L3" s="7" t="s">
        <v>25</v>
      </c>
      <c r="M3" s="7" t="s">
        <v>26</v>
      </c>
      <c r="N3" s="9">
        <v>1000.0</v>
      </c>
      <c r="O3" s="9">
        <v>500.0</v>
      </c>
      <c r="P3" s="9">
        <f t="shared" ref="P3:P57" si="3">N3-O3</f>
        <v>500</v>
      </c>
      <c r="Q3" s="10" t="str">
        <f t="shared" ref="Q3:Q57" si="4">IF(P3&lt;=0,"PAID",IF(O3=0,"UNPAID","PARTIAL"))</f>
        <v>PARTIAL</v>
      </c>
      <c r="R3" s="11">
        <v>46023.0</v>
      </c>
    </row>
    <row r="4">
      <c r="A4" s="7">
        <v>2.0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>
        <v>1012.0</v>
      </c>
      <c r="H4" s="7">
        <v>100.0</v>
      </c>
      <c r="I4" s="7">
        <v>70.0</v>
      </c>
      <c r="J4" s="8">
        <f t="shared" si="1"/>
        <v>0.7</v>
      </c>
      <c r="K4" s="7" t="str">
        <f t="shared" si="2"/>
        <v>ELIGIBLE</v>
      </c>
      <c r="L4" s="7" t="s">
        <v>33</v>
      </c>
      <c r="M4" s="7" t="s">
        <v>34</v>
      </c>
      <c r="N4" s="9">
        <v>1200.0</v>
      </c>
      <c r="O4" s="9">
        <v>1000.0</v>
      </c>
      <c r="P4" s="9">
        <f t="shared" si="3"/>
        <v>200</v>
      </c>
      <c r="Q4" s="10" t="str">
        <f t="shared" si="4"/>
        <v>PARTIAL</v>
      </c>
      <c r="R4" s="11">
        <v>46024.0</v>
      </c>
    </row>
    <row r="5">
      <c r="A5" s="7">
        <v>3.0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>
        <v>1058.0</v>
      </c>
      <c r="H5" s="7">
        <v>100.0</v>
      </c>
      <c r="I5" s="7">
        <v>67.0</v>
      </c>
      <c r="J5" s="8">
        <f t="shared" si="1"/>
        <v>0.67</v>
      </c>
      <c r="K5" s="7" t="str">
        <f t="shared" si="2"/>
        <v>NOT ELIGIBLE</v>
      </c>
      <c r="L5" s="7" t="s">
        <v>41</v>
      </c>
      <c r="M5" s="7" t="s">
        <v>42</v>
      </c>
      <c r="N5" s="9">
        <v>1500.0</v>
      </c>
      <c r="O5" s="9">
        <v>1200.0</v>
      </c>
      <c r="P5" s="9">
        <f t="shared" si="3"/>
        <v>300</v>
      </c>
      <c r="Q5" s="10" t="str">
        <f t="shared" si="4"/>
        <v>PARTIAL</v>
      </c>
      <c r="R5" s="11">
        <v>46026.0</v>
      </c>
    </row>
    <row r="6">
      <c r="A6" s="7">
        <v>4.0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7">
        <v>1024.0</v>
      </c>
      <c r="H6" s="7">
        <v>100.0</v>
      </c>
      <c r="I6" s="7">
        <v>85.0</v>
      </c>
      <c r="J6" s="8">
        <f t="shared" si="1"/>
        <v>0.85</v>
      </c>
      <c r="K6" s="7" t="str">
        <f t="shared" si="2"/>
        <v>ELIGIBLE</v>
      </c>
      <c r="L6" s="7" t="s">
        <v>49</v>
      </c>
      <c r="M6" s="7" t="s">
        <v>50</v>
      </c>
      <c r="N6" s="9">
        <v>2000.0</v>
      </c>
      <c r="O6" s="9">
        <v>2000.0</v>
      </c>
      <c r="P6" s="9">
        <f t="shared" si="3"/>
        <v>0</v>
      </c>
      <c r="Q6" s="7" t="str">
        <f t="shared" si="4"/>
        <v>PAID</v>
      </c>
      <c r="R6" s="11">
        <v>46028.0</v>
      </c>
    </row>
    <row r="7">
      <c r="A7" s="7">
        <v>5.0</v>
      </c>
      <c r="B7" s="7" t="s">
        <v>52</v>
      </c>
      <c r="C7" s="7" t="s">
        <v>53</v>
      </c>
      <c r="D7" s="7" t="s">
        <v>54</v>
      </c>
      <c r="E7" s="7" t="s">
        <v>55</v>
      </c>
      <c r="F7" s="7" t="s">
        <v>24</v>
      </c>
      <c r="G7" s="7">
        <v>1071.0</v>
      </c>
      <c r="H7" s="7">
        <v>100.0</v>
      </c>
      <c r="I7" s="7">
        <v>60.0</v>
      </c>
      <c r="J7" s="8">
        <f t="shared" si="1"/>
        <v>0.6</v>
      </c>
      <c r="K7" s="7" t="str">
        <f t="shared" si="2"/>
        <v>NOT ELIGIBLE</v>
      </c>
      <c r="L7" s="7" t="s">
        <v>56</v>
      </c>
      <c r="M7" s="7" t="s">
        <v>57</v>
      </c>
      <c r="N7" s="9">
        <v>1800.0</v>
      </c>
      <c r="O7" s="9">
        <v>1500.0</v>
      </c>
      <c r="P7" s="9">
        <f t="shared" si="3"/>
        <v>300</v>
      </c>
      <c r="Q7" s="7" t="str">
        <f t="shared" si="4"/>
        <v>PARTIAL</v>
      </c>
      <c r="R7" s="11">
        <v>46030.0</v>
      </c>
    </row>
    <row r="8">
      <c r="A8" s="7">
        <v>6.0</v>
      </c>
      <c r="B8" s="7" t="s">
        <v>59</v>
      </c>
      <c r="C8" s="7" t="s">
        <v>60</v>
      </c>
      <c r="D8" s="7" t="s">
        <v>61</v>
      </c>
      <c r="E8" s="7" t="s">
        <v>62</v>
      </c>
      <c r="F8" s="7" t="s">
        <v>40</v>
      </c>
      <c r="G8" s="7">
        <v>1018.0</v>
      </c>
      <c r="H8" s="7">
        <v>100.0</v>
      </c>
      <c r="I8" s="7">
        <v>72.0</v>
      </c>
      <c r="J8" s="8">
        <f t="shared" si="1"/>
        <v>0.72</v>
      </c>
      <c r="K8" s="7" t="str">
        <f t="shared" si="2"/>
        <v>ELIGIBLE</v>
      </c>
      <c r="L8" s="7" t="s">
        <v>63</v>
      </c>
      <c r="M8" s="7" t="s">
        <v>64</v>
      </c>
      <c r="N8" s="9">
        <v>2500.0</v>
      </c>
      <c r="O8" s="9">
        <v>2500.0</v>
      </c>
      <c r="P8" s="9">
        <f t="shared" si="3"/>
        <v>0</v>
      </c>
      <c r="Q8" s="7" t="str">
        <f t="shared" si="4"/>
        <v>PAID</v>
      </c>
      <c r="R8" s="11">
        <v>46032.0</v>
      </c>
    </row>
    <row r="9">
      <c r="A9" s="7">
        <v>7.0</v>
      </c>
      <c r="B9" s="7" t="s">
        <v>66</v>
      </c>
      <c r="C9" s="7" t="s">
        <v>67</v>
      </c>
      <c r="D9" s="7" t="s">
        <v>68</v>
      </c>
      <c r="E9" s="7" t="s">
        <v>69</v>
      </c>
      <c r="F9" s="7" t="s">
        <v>32</v>
      </c>
      <c r="G9" s="7">
        <v>1043.0</v>
      </c>
      <c r="H9" s="7">
        <v>100.0</v>
      </c>
      <c r="I9" s="7">
        <v>68.0</v>
      </c>
      <c r="J9" s="8">
        <f t="shared" si="1"/>
        <v>0.68</v>
      </c>
      <c r="K9" s="7" t="str">
        <f t="shared" si="2"/>
        <v>NOT ELIGIBLE</v>
      </c>
      <c r="L9" s="7" t="s">
        <v>70</v>
      </c>
      <c r="M9" s="7" t="s">
        <v>71</v>
      </c>
      <c r="N9" s="9">
        <v>3000.0</v>
      </c>
      <c r="O9" s="9">
        <v>1800.0</v>
      </c>
      <c r="P9" s="9">
        <f t="shared" si="3"/>
        <v>1200</v>
      </c>
      <c r="Q9" s="7" t="str">
        <f t="shared" si="4"/>
        <v>PARTIAL</v>
      </c>
      <c r="R9" s="11">
        <v>46034.0</v>
      </c>
    </row>
    <row r="10">
      <c r="A10" s="7">
        <v>8.0</v>
      </c>
      <c r="B10" s="7" t="s">
        <v>73</v>
      </c>
      <c r="C10" s="7" t="s">
        <v>74</v>
      </c>
      <c r="D10" s="7" t="s">
        <v>75</v>
      </c>
      <c r="E10" s="7" t="s">
        <v>76</v>
      </c>
      <c r="F10" s="7" t="s">
        <v>48</v>
      </c>
      <c r="G10" s="7">
        <v>1090.0</v>
      </c>
      <c r="H10" s="7">
        <v>100.0</v>
      </c>
      <c r="I10" s="7">
        <v>90.0</v>
      </c>
      <c r="J10" s="8">
        <f t="shared" si="1"/>
        <v>0.9</v>
      </c>
      <c r="K10" s="7" t="str">
        <f t="shared" si="2"/>
        <v>ELIGIBLE</v>
      </c>
      <c r="L10" s="7" t="s">
        <v>77</v>
      </c>
      <c r="M10" s="7" t="s">
        <v>78</v>
      </c>
      <c r="N10" s="9">
        <v>1100.0</v>
      </c>
      <c r="O10" s="9">
        <v>1100.0</v>
      </c>
      <c r="P10" s="9">
        <f t="shared" si="3"/>
        <v>0</v>
      </c>
      <c r="Q10" s="7" t="str">
        <f t="shared" si="4"/>
        <v>PAID</v>
      </c>
      <c r="R10" s="11">
        <v>46036.0</v>
      </c>
    </row>
    <row r="11">
      <c r="A11" s="7">
        <v>9.0</v>
      </c>
      <c r="B11" s="7" t="s">
        <v>80</v>
      </c>
      <c r="C11" s="7" t="s">
        <v>81</v>
      </c>
      <c r="D11" s="7" t="s">
        <v>82</v>
      </c>
      <c r="E11" s="7" t="s">
        <v>83</v>
      </c>
      <c r="F11" s="7" t="s">
        <v>24</v>
      </c>
      <c r="G11" s="7">
        <v>1029.0</v>
      </c>
      <c r="H11" s="7">
        <v>100.0</v>
      </c>
      <c r="I11" s="7">
        <v>75.0</v>
      </c>
      <c r="J11" s="8">
        <f t="shared" si="1"/>
        <v>0.75</v>
      </c>
      <c r="K11" s="7" t="str">
        <f t="shared" si="2"/>
        <v>ELIGIBLE</v>
      </c>
      <c r="L11" s="7" t="s">
        <v>84</v>
      </c>
      <c r="M11" s="7" t="s">
        <v>85</v>
      </c>
      <c r="N11" s="9">
        <v>1400.0</v>
      </c>
      <c r="O11" s="9">
        <v>1400.0</v>
      </c>
      <c r="P11" s="9">
        <f t="shared" si="3"/>
        <v>0</v>
      </c>
      <c r="Q11" s="7" t="str">
        <f t="shared" si="4"/>
        <v>PAID</v>
      </c>
      <c r="R11" s="11">
        <v>46038.0</v>
      </c>
    </row>
    <row r="12">
      <c r="A12" s="7">
        <v>10.0</v>
      </c>
      <c r="B12" s="7" t="s">
        <v>87</v>
      </c>
      <c r="C12" s="7" t="s">
        <v>88</v>
      </c>
      <c r="D12" s="7" t="s">
        <v>89</v>
      </c>
      <c r="E12" s="7" t="s">
        <v>90</v>
      </c>
      <c r="F12" s="7" t="s">
        <v>32</v>
      </c>
      <c r="G12" s="7">
        <v>1064.0</v>
      </c>
      <c r="H12" s="7">
        <v>100.0</v>
      </c>
      <c r="I12" s="7">
        <v>80.0</v>
      </c>
      <c r="J12" s="8">
        <f t="shared" si="1"/>
        <v>0.8</v>
      </c>
      <c r="K12" s="7" t="str">
        <f t="shared" si="2"/>
        <v>ELIGIBLE</v>
      </c>
      <c r="L12" s="7" t="s">
        <v>91</v>
      </c>
      <c r="M12" s="7" t="s">
        <v>92</v>
      </c>
      <c r="N12" s="9">
        <v>1600.0</v>
      </c>
      <c r="O12" s="9">
        <v>1600.0</v>
      </c>
      <c r="P12" s="9">
        <f t="shared" si="3"/>
        <v>0</v>
      </c>
      <c r="Q12" s="7" t="str">
        <f t="shared" si="4"/>
        <v>PAID</v>
      </c>
      <c r="R12" s="11">
        <v>46040.0</v>
      </c>
    </row>
    <row r="13">
      <c r="A13" s="7">
        <v>11.0</v>
      </c>
      <c r="B13" s="7" t="s">
        <v>94</v>
      </c>
      <c r="C13" s="7" t="s">
        <v>95</v>
      </c>
      <c r="D13" s="7" t="s">
        <v>96</v>
      </c>
      <c r="E13" s="7" t="s">
        <v>39</v>
      </c>
      <c r="F13" s="7" t="s">
        <v>48</v>
      </c>
      <c r="G13" s="7">
        <v>1007.0</v>
      </c>
      <c r="H13" s="7">
        <v>100.0</v>
      </c>
      <c r="I13" s="7">
        <v>66.0</v>
      </c>
      <c r="J13" s="8">
        <f t="shared" si="1"/>
        <v>0.66</v>
      </c>
      <c r="K13" s="7" t="str">
        <f t="shared" si="2"/>
        <v>NOT ELIGIBLE</v>
      </c>
      <c r="L13" s="7" t="s">
        <v>97</v>
      </c>
      <c r="M13" s="7" t="s">
        <v>98</v>
      </c>
      <c r="N13" s="9">
        <v>1700.0</v>
      </c>
      <c r="O13" s="9">
        <v>900.0</v>
      </c>
      <c r="P13" s="9">
        <f t="shared" si="3"/>
        <v>800</v>
      </c>
      <c r="Q13" s="7" t="str">
        <f t="shared" si="4"/>
        <v>PARTIAL</v>
      </c>
      <c r="R13" s="11">
        <v>46045.0</v>
      </c>
    </row>
    <row r="14">
      <c r="A14" s="7">
        <v>12.0</v>
      </c>
      <c r="B14" s="7" t="s">
        <v>100</v>
      </c>
      <c r="C14" s="7" t="s">
        <v>101</v>
      </c>
      <c r="D14" s="7" t="s">
        <v>102</v>
      </c>
      <c r="E14" s="7" t="s">
        <v>62</v>
      </c>
      <c r="F14" s="7" t="s">
        <v>24</v>
      </c>
      <c r="G14" s="7">
        <v>1044.0</v>
      </c>
      <c r="H14" s="7">
        <v>100.0</v>
      </c>
      <c r="I14" s="7">
        <v>58.0</v>
      </c>
      <c r="J14" s="8">
        <f t="shared" si="1"/>
        <v>0.58</v>
      </c>
      <c r="K14" s="7" t="str">
        <f t="shared" si="2"/>
        <v>NOT ELIGIBLE</v>
      </c>
      <c r="L14" s="7" t="s">
        <v>103</v>
      </c>
      <c r="M14" s="7" t="s">
        <v>104</v>
      </c>
      <c r="N14" s="9">
        <v>1900.0</v>
      </c>
      <c r="O14" s="9">
        <v>1600.0</v>
      </c>
      <c r="P14" s="9">
        <f t="shared" si="3"/>
        <v>300</v>
      </c>
      <c r="Q14" s="7" t="str">
        <f t="shared" si="4"/>
        <v>PARTIAL</v>
      </c>
      <c r="R14" s="11">
        <v>46047.0</v>
      </c>
    </row>
    <row r="15">
      <c r="A15" s="7">
        <v>13.0</v>
      </c>
      <c r="B15" s="7" t="s">
        <v>106</v>
      </c>
      <c r="C15" s="7" t="s">
        <v>107</v>
      </c>
      <c r="D15" s="7" t="s">
        <v>108</v>
      </c>
      <c r="E15" s="7" t="s">
        <v>23</v>
      </c>
      <c r="F15" s="7" t="s">
        <v>40</v>
      </c>
      <c r="G15" s="7">
        <v>1081.0</v>
      </c>
      <c r="H15" s="7">
        <v>100.0</v>
      </c>
      <c r="I15" s="7">
        <v>73.0</v>
      </c>
      <c r="J15" s="8">
        <f t="shared" si="1"/>
        <v>0.73</v>
      </c>
      <c r="K15" s="7" t="str">
        <f t="shared" si="2"/>
        <v>ELIGIBLE</v>
      </c>
      <c r="L15" s="7" t="s">
        <v>109</v>
      </c>
      <c r="M15" s="7" t="s">
        <v>110</v>
      </c>
      <c r="N15" s="9">
        <v>2200.0</v>
      </c>
      <c r="O15" s="9">
        <v>2200.0</v>
      </c>
      <c r="P15" s="9">
        <f t="shared" si="3"/>
        <v>0</v>
      </c>
      <c r="Q15" s="7" t="str">
        <f t="shared" si="4"/>
        <v>PAID</v>
      </c>
      <c r="R15" s="11">
        <v>46049.0</v>
      </c>
    </row>
    <row r="16">
      <c r="A16" s="7">
        <v>14.0</v>
      </c>
      <c r="B16" s="7" t="s">
        <v>112</v>
      </c>
      <c r="C16" s="7" t="s">
        <v>113</v>
      </c>
      <c r="D16" s="7" t="s">
        <v>114</v>
      </c>
      <c r="E16" s="7" t="s">
        <v>83</v>
      </c>
      <c r="F16" s="7" t="s">
        <v>32</v>
      </c>
      <c r="G16" s="7">
        <v>1018.0</v>
      </c>
      <c r="H16" s="7">
        <v>100.0</v>
      </c>
      <c r="I16" s="7">
        <v>77.0</v>
      </c>
      <c r="J16" s="8">
        <f t="shared" si="1"/>
        <v>0.77</v>
      </c>
      <c r="K16" s="7" t="str">
        <f t="shared" si="2"/>
        <v>ELIGIBLE</v>
      </c>
      <c r="L16" s="7" t="s">
        <v>115</v>
      </c>
      <c r="M16" s="7" t="s">
        <v>116</v>
      </c>
      <c r="N16" s="9">
        <v>2300.0</v>
      </c>
      <c r="O16" s="9">
        <v>2300.0</v>
      </c>
      <c r="P16" s="9">
        <f t="shared" si="3"/>
        <v>0</v>
      </c>
      <c r="Q16" s="7" t="str">
        <f t="shared" si="4"/>
        <v>PAID</v>
      </c>
      <c r="R16" s="11">
        <v>46051.0</v>
      </c>
    </row>
    <row r="17">
      <c r="A17" s="7">
        <v>15.0</v>
      </c>
      <c r="B17" s="7" t="s">
        <v>118</v>
      </c>
      <c r="C17" s="7" t="s">
        <v>119</v>
      </c>
      <c r="D17" s="7" t="s">
        <v>120</v>
      </c>
      <c r="E17" s="7" t="s">
        <v>55</v>
      </c>
      <c r="F17" s="7" t="s">
        <v>48</v>
      </c>
      <c r="G17" s="7">
        <v>1055.0</v>
      </c>
      <c r="H17" s="7">
        <v>100.0</v>
      </c>
      <c r="I17" s="7">
        <v>84.0</v>
      </c>
      <c r="J17" s="8">
        <f t="shared" si="1"/>
        <v>0.84</v>
      </c>
      <c r="K17" s="7" t="str">
        <f t="shared" si="2"/>
        <v>ELIGIBLE</v>
      </c>
      <c r="L17" s="7" t="s">
        <v>121</v>
      </c>
      <c r="M17" s="7" t="s">
        <v>122</v>
      </c>
      <c r="N17" s="9">
        <v>2400.0</v>
      </c>
      <c r="O17" s="9">
        <v>2400.0</v>
      </c>
      <c r="P17" s="9">
        <f t="shared" si="3"/>
        <v>0</v>
      </c>
      <c r="Q17" s="7" t="str">
        <f t="shared" si="4"/>
        <v>PAID</v>
      </c>
      <c r="R17" s="11">
        <v>46053.0</v>
      </c>
    </row>
    <row r="18">
      <c r="A18" s="7">
        <v>16.0</v>
      </c>
      <c r="B18" s="7" t="s">
        <v>124</v>
      </c>
      <c r="C18" s="7" t="s">
        <v>125</v>
      </c>
      <c r="D18" s="7" t="s">
        <v>126</v>
      </c>
      <c r="E18" s="7" t="s">
        <v>90</v>
      </c>
      <c r="F18" s="7" t="s">
        <v>24</v>
      </c>
      <c r="G18" s="7">
        <v>1092.0</v>
      </c>
      <c r="H18" s="7">
        <v>100.0</v>
      </c>
      <c r="I18" s="7">
        <v>69.0</v>
      </c>
      <c r="J18" s="8">
        <f t="shared" si="1"/>
        <v>0.69</v>
      </c>
      <c r="K18" s="7" t="str">
        <f t="shared" si="2"/>
        <v>NOT ELIGIBLE</v>
      </c>
      <c r="L18" s="7" t="s">
        <v>127</v>
      </c>
      <c r="M18" s="7" t="s">
        <v>128</v>
      </c>
      <c r="N18" s="9">
        <v>2600.0</v>
      </c>
      <c r="O18" s="9">
        <v>2100.0</v>
      </c>
      <c r="P18" s="9">
        <f t="shared" si="3"/>
        <v>500</v>
      </c>
      <c r="Q18" s="7" t="str">
        <f t="shared" si="4"/>
        <v>PARTIAL</v>
      </c>
      <c r="R18" s="11">
        <v>46055.0</v>
      </c>
    </row>
    <row r="19">
      <c r="A19" s="7">
        <v>17.0</v>
      </c>
      <c r="B19" s="7" t="s">
        <v>130</v>
      </c>
      <c r="C19" s="7" t="s">
        <v>131</v>
      </c>
      <c r="D19" s="7" t="s">
        <v>132</v>
      </c>
      <c r="E19" s="7" t="s">
        <v>69</v>
      </c>
      <c r="F19" s="7" t="s">
        <v>40</v>
      </c>
      <c r="G19" s="7">
        <v>1029.0</v>
      </c>
      <c r="H19" s="7">
        <v>100.0</v>
      </c>
      <c r="I19" s="7">
        <v>71.0</v>
      </c>
      <c r="J19" s="8">
        <f t="shared" si="1"/>
        <v>0.71</v>
      </c>
      <c r="K19" s="7" t="str">
        <f t="shared" si="2"/>
        <v>ELIGIBLE</v>
      </c>
      <c r="L19" s="7" t="s">
        <v>133</v>
      </c>
      <c r="M19" s="7" t="s">
        <v>134</v>
      </c>
      <c r="N19" s="9">
        <v>2800.0</v>
      </c>
      <c r="O19" s="9">
        <v>2800.0</v>
      </c>
      <c r="P19" s="9">
        <f t="shared" si="3"/>
        <v>0</v>
      </c>
      <c r="Q19" s="7" t="str">
        <f t="shared" si="4"/>
        <v>PAID</v>
      </c>
      <c r="R19" s="11">
        <v>46057.0</v>
      </c>
    </row>
    <row r="20">
      <c r="A20" s="7">
        <v>18.0</v>
      </c>
      <c r="B20" s="7" t="s">
        <v>136</v>
      </c>
      <c r="C20" s="7" t="s">
        <v>137</v>
      </c>
      <c r="D20" s="7" t="s">
        <v>138</v>
      </c>
      <c r="E20" s="7" t="s">
        <v>31</v>
      </c>
      <c r="F20" s="7" t="s">
        <v>32</v>
      </c>
      <c r="G20" s="7">
        <v>1066.0</v>
      </c>
      <c r="H20" s="7">
        <v>100.0</v>
      </c>
      <c r="I20" s="7">
        <v>88.0</v>
      </c>
      <c r="J20" s="8">
        <f t="shared" si="1"/>
        <v>0.88</v>
      </c>
      <c r="K20" s="7" t="str">
        <f t="shared" si="2"/>
        <v>ELIGIBLE</v>
      </c>
      <c r="L20" s="7" t="s">
        <v>139</v>
      </c>
      <c r="M20" s="7" t="s">
        <v>140</v>
      </c>
      <c r="N20" s="9">
        <v>1500.0</v>
      </c>
      <c r="O20" s="9">
        <v>1500.0</v>
      </c>
      <c r="P20" s="9">
        <f t="shared" si="3"/>
        <v>0</v>
      </c>
      <c r="Q20" s="7" t="str">
        <f t="shared" si="4"/>
        <v>PAID</v>
      </c>
      <c r="R20" s="11">
        <v>46059.0</v>
      </c>
    </row>
    <row r="21" ht="15.75" customHeight="1">
      <c r="A21" s="7">
        <v>19.0</v>
      </c>
      <c r="B21" s="7" t="s">
        <v>142</v>
      </c>
      <c r="C21" s="7" t="s">
        <v>143</v>
      </c>
      <c r="D21" s="7" t="s">
        <v>144</v>
      </c>
      <c r="E21" s="7" t="s">
        <v>76</v>
      </c>
      <c r="F21" s="7" t="s">
        <v>48</v>
      </c>
      <c r="G21" s="7">
        <v>1003.0</v>
      </c>
      <c r="H21" s="7">
        <v>100.0</v>
      </c>
      <c r="I21" s="7">
        <v>62.0</v>
      </c>
      <c r="J21" s="8">
        <f t="shared" si="1"/>
        <v>0.62</v>
      </c>
      <c r="K21" s="7" t="str">
        <f t="shared" si="2"/>
        <v>NOT ELIGIBLE</v>
      </c>
      <c r="L21" s="7" t="s">
        <v>145</v>
      </c>
      <c r="M21" s="7" t="s">
        <v>146</v>
      </c>
      <c r="N21" s="9">
        <v>1800.0</v>
      </c>
      <c r="O21" s="9">
        <v>1300.0</v>
      </c>
      <c r="P21" s="9">
        <f t="shared" si="3"/>
        <v>500</v>
      </c>
      <c r="Q21" s="7" t="str">
        <f t="shared" si="4"/>
        <v>PARTIAL</v>
      </c>
      <c r="R21" s="11">
        <v>46061.0</v>
      </c>
    </row>
    <row r="22" ht="15.75" customHeight="1">
      <c r="A22" s="7">
        <v>20.0</v>
      </c>
      <c r="B22" s="7" t="s">
        <v>148</v>
      </c>
      <c r="C22" s="7" t="s">
        <v>149</v>
      </c>
      <c r="D22" s="7" t="s">
        <v>150</v>
      </c>
      <c r="E22" s="7" t="s">
        <v>47</v>
      </c>
      <c r="F22" s="7" t="s">
        <v>24</v>
      </c>
      <c r="G22" s="7">
        <v>1040.0</v>
      </c>
      <c r="H22" s="7">
        <v>100.0</v>
      </c>
      <c r="I22" s="7">
        <v>79.0</v>
      </c>
      <c r="J22" s="8">
        <f t="shared" si="1"/>
        <v>0.79</v>
      </c>
      <c r="K22" s="7" t="str">
        <f t="shared" si="2"/>
        <v>ELIGIBLE</v>
      </c>
      <c r="L22" s="7" t="s">
        <v>151</v>
      </c>
      <c r="M22" s="7" t="s">
        <v>152</v>
      </c>
      <c r="N22" s="9">
        <v>2000.0</v>
      </c>
      <c r="O22" s="9">
        <v>2000.0</v>
      </c>
      <c r="P22" s="9">
        <f t="shared" si="3"/>
        <v>0</v>
      </c>
      <c r="Q22" s="7" t="str">
        <f t="shared" si="4"/>
        <v>PAID</v>
      </c>
      <c r="R22" s="11">
        <v>46063.0</v>
      </c>
    </row>
    <row r="23" ht="15.75" customHeight="1">
      <c r="A23" s="7">
        <v>21.0</v>
      </c>
      <c r="B23" s="7" t="s">
        <v>154</v>
      </c>
      <c r="C23" s="7" t="s">
        <v>155</v>
      </c>
      <c r="D23" s="7" t="s">
        <v>156</v>
      </c>
      <c r="E23" s="7" t="s">
        <v>39</v>
      </c>
      <c r="F23" s="7" t="s">
        <v>40</v>
      </c>
      <c r="G23" s="7">
        <v>1077.0</v>
      </c>
      <c r="H23" s="7">
        <v>100.0</v>
      </c>
      <c r="I23" s="7">
        <v>65.0</v>
      </c>
      <c r="J23" s="8">
        <f t="shared" si="1"/>
        <v>0.65</v>
      </c>
      <c r="K23" s="7" t="str">
        <f t="shared" si="2"/>
        <v>NOT ELIGIBLE</v>
      </c>
      <c r="L23" s="7" t="s">
        <v>157</v>
      </c>
      <c r="M23" s="7" t="s">
        <v>158</v>
      </c>
      <c r="N23" s="9">
        <v>2100.0</v>
      </c>
      <c r="O23" s="9">
        <v>1600.0</v>
      </c>
      <c r="P23" s="9">
        <f t="shared" si="3"/>
        <v>500</v>
      </c>
      <c r="Q23" s="7" t="str">
        <f t="shared" si="4"/>
        <v>PARTIAL</v>
      </c>
      <c r="R23" s="11">
        <v>46065.0</v>
      </c>
    </row>
    <row r="24" ht="15.75" customHeight="1">
      <c r="A24" s="7">
        <v>22.0</v>
      </c>
      <c r="B24" s="7" t="s">
        <v>160</v>
      </c>
      <c r="C24" s="7" t="s">
        <v>161</v>
      </c>
      <c r="D24" s="7" t="s">
        <v>162</v>
      </c>
      <c r="E24" s="7" t="s">
        <v>62</v>
      </c>
      <c r="F24" s="7" t="s">
        <v>32</v>
      </c>
      <c r="G24" s="7">
        <v>1014.0</v>
      </c>
      <c r="H24" s="7">
        <v>100.0</v>
      </c>
      <c r="I24" s="7">
        <v>74.0</v>
      </c>
      <c r="J24" s="8">
        <f t="shared" si="1"/>
        <v>0.74</v>
      </c>
      <c r="K24" s="7" t="str">
        <f t="shared" si="2"/>
        <v>ELIGIBLE</v>
      </c>
      <c r="L24" s="7" t="s">
        <v>163</v>
      </c>
      <c r="M24" s="7" t="s">
        <v>164</v>
      </c>
      <c r="N24" s="9">
        <v>1700.0</v>
      </c>
      <c r="O24" s="9">
        <v>1700.0</v>
      </c>
      <c r="P24" s="9">
        <f t="shared" si="3"/>
        <v>0</v>
      </c>
      <c r="Q24" s="7" t="str">
        <f t="shared" si="4"/>
        <v>PAID</v>
      </c>
      <c r="R24" s="11">
        <v>46067.0</v>
      </c>
    </row>
    <row r="25" ht="15.75" customHeight="1">
      <c r="A25" s="7">
        <v>23.0</v>
      </c>
      <c r="B25" s="7" t="s">
        <v>166</v>
      </c>
      <c r="C25" s="7" t="s">
        <v>167</v>
      </c>
      <c r="D25" s="7" t="s">
        <v>168</v>
      </c>
      <c r="E25" s="7" t="s">
        <v>23</v>
      </c>
      <c r="F25" s="7" t="s">
        <v>48</v>
      </c>
      <c r="G25" s="7">
        <v>1051.0</v>
      </c>
      <c r="H25" s="7">
        <v>100.0</v>
      </c>
      <c r="I25" s="7">
        <v>83.0</v>
      </c>
      <c r="J25" s="8">
        <f t="shared" si="1"/>
        <v>0.83</v>
      </c>
      <c r="K25" s="7" t="str">
        <f t="shared" si="2"/>
        <v>ELIGIBLE</v>
      </c>
      <c r="L25" s="7" t="s">
        <v>169</v>
      </c>
      <c r="M25" s="7" t="s">
        <v>170</v>
      </c>
      <c r="N25" s="9">
        <v>1600.0</v>
      </c>
      <c r="O25" s="9">
        <v>1600.0</v>
      </c>
      <c r="P25" s="9">
        <f t="shared" si="3"/>
        <v>0</v>
      </c>
      <c r="Q25" s="7" t="str">
        <f t="shared" si="4"/>
        <v>PAID</v>
      </c>
      <c r="R25" s="11">
        <v>46069.0</v>
      </c>
    </row>
    <row r="26" ht="15.75" customHeight="1">
      <c r="A26" s="7">
        <v>24.0</v>
      </c>
      <c r="B26" s="7" t="s">
        <v>172</v>
      </c>
      <c r="C26" s="7" t="s">
        <v>173</v>
      </c>
      <c r="D26" s="7" t="s">
        <v>174</v>
      </c>
      <c r="E26" s="7" t="s">
        <v>83</v>
      </c>
      <c r="F26" s="7" t="s">
        <v>24</v>
      </c>
      <c r="G26" s="7">
        <v>1088.0</v>
      </c>
      <c r="H26" s="7">
        <v>100.0</v>
      </c>
      <c r="I26" s="7">
        <v>57.0</v>
      </c>
      <c r="J26" s="8">
        <f t="shared" si="1"/>
        <v>0.57</v>
      </c>
      <c r="K26" s="7" t="str">
        <f t="shared" si="2"/>
        <v>NOT ELIGIBLE</v>
      </c>
      <c r="L26" s="7" t="s">
        <v>175</v>
      </c>
      <c r="M26" s="7" t="s">
        <v>176</v>
      </c>
      <c r="N26" s="9">
        <v>1900.0</v>
      </c>
      <c r="O26" s="9">
        <v>1600.0</v>
      </c>
      <c r="P26" s="9">
        <f t="shared" si="3"/>
        <v>300</v>
      </c>
      <c r="Q26" s="7" t="str">
        <f t="shared" si="4"/>
        <v>PARTIAL</v>
      </c>
      <c r="R26" s="11">
        <v>46071.0</v>
      </c>
    </row>
    <row r="27" ht="15.75" customHeight="1">
      <c r="A27" s="7">
        <v>25.0</v>
      </c>
      <c r="B27" s="7" t="s">
        <v>178</v>
      </c>
      <c r="C27" s="7" t="s">
        <v>179</v>
      </c>
      <c r="D27" s="7" t="s">
        <v>180</v>
      </c>
      <c r="E27" s="7" t="s">
        <v>55</v>
      </c>
      <c r="F27" s="7" t="s">
        <v>40</v>
      </c>
      <c r="G27" s="7">
        <v>1025.0</v>
      </c>
      <c r="H27" s="7">
        <v>100.0</v>
      </c>
      <c r="I27" s="7">
        <v>78.0</v>
      </c>
      <c r="J27" s="8">
        <f t="shared" si="1"/>
        <v>0.78</v>
      </c>
      <c r="K27" s="7" t="str">
        <f t="shared" si="2"/>
        <v>ELIGIBLE</v>
      </c>
      <c r="L27" s="7" t="s">
        <v>181</v>
      </c>
      <c r="M27" s="7" t="s">
        <v>182</v>
      </c>
      <c r="N27" s="9">
        <v>2200.0</v>
      </c>
      <c r="O27" s="9">
        <v>2200.0</v>
      </c>
      <c r="P27" s="9">
        <f t="shared" si="3"/>
        <v>0</v>
      </c>
      <c r="Q27" s="7" t="str">
        <f t="shared" si="4"/>
        <v>PAID</v>
      </c>
      <c r="R27" s="11">
        <v>46073.0</v>
      </c>
    </row>
    <row r="28" ht="15.75" customHeight="1">
      <c r="A28" s="7">
        <v>26.0</v>
      </c>
      <c r="B28" s="7" t="s">
        <v>184</v>
      </c>
      <c r="C28" s="7" t="s">
        <v>185</v>
      </c>
      <c r="D28" s="7" t="s">
        <v>186</v>
      </c>
      <c r="E28" s="7" t="s">
        <v>90</v>
      </c>
      <c r="F28" s="7" t="s">
        <v>32</v>
      </c>
      <c r="G28" s="7">
        <v>1062.0</v>
      </c>
      <c r="H28" s="7">
        <v>100.0</v>
      </c>
      <c r="I28" s="7">
        <v>81.0</v>
      </c>
      <c r="J28" s="8">
        <f t="shared" si="1"/>
        <v>0.81</v>
      </c>
      <c r="K28" s="7" t="str">
        <f t="shared" si="2"/>
        <v>ELIGIBLE</v>
      </c>
      <c r="L28" s="7" t="s">
        <v>187</v>
      </c>
      <c r="M28" s="7" t="s">
        <v>188</v>
      </c>
      <c r="N28" s="9">
        <v>2500.0</v>
      </c>
      <c r="O28" s="9">
        <v>2500.0</v>
      </c>
      <c r="P28" s="9">
        <f t="shared" si="3"/>
        <v>0</v>
      </c>
      <c r="Q28" s="7" t="str">
        <f t="shared" si="4"/>
        <v>PAID</v>
      </c>
      <c r="R28" s="11">
        <v>46075.0</v>
      </c>
    </row>
    <row r="29" ht="15.75" customHeight="1">
      <c r="A29" s="7">
        <v>27.0</v>
      </c>
      <c r="B29" s="7" t="s">
        <v>190</v>
      </c>
      <c r="C29" s="7" t="s">
        <v>191</v>
      </c>
      <c r="D29" s="7" t="s">
        <v>192</v>
      </c>
      <c r="E29" s="7" t="s">
        <v>69</v>
      </c>
      <c r="F29" s="7" t="s">
        <v>48</v>
      </c>
      <c r="G29" s="7">
        <v>1099.0</v>
      </c>
      <c r="H29" s="7">
        <v>100.0</v>
      </c>
      <c r="I29" s="7">
        <v>86.0</v>
      </c>
      <c r="J29" s="8">
        <f t="shared" si="1"/>
        <v>0.86</v>
      </c>
      <c r="K29" s="7" t="str">
        <f t="shared" si="2"/>
        <v>ELIGIBLE</v>
      </c>
      <c r="L29" s="7" t="s">
        <v>193</v>
      </c>
      <c r="M29" s="7" t="s">
        <v>194</v>
      </c>
      <c r="N29" s="9">
        <v>3000.0</v>
      </c>
      <c r="O29" s="9">
        <v>3000.0</v>
      </c>
      <c r="P29" s="9">
        <f t="shared" si="3"/>
        <v>0</v>
      </c>
      <c r="Q29" s="7" t="str">
        <f t="shared" si="4"/>
        <v>PAID</v>
      </c>
      <c r="R29" s="11">
        <v>46077.0</v>
      </c>
    </row>
    <row r="30" ht="15.75" customHeight="1">
      <c r="A30" s="7">
        <v>28.0</v>
      </c>
      <c r="B30" s="7" t="s">
        <v>196</v>
      </c>
      <c r="C30" s="7" t="s">
        <v>197</v>
      </c>
      <c r="D30" s="7" t="s">
        <v>198</v>
      </c>
      <c r="E30" s="7" t="s">
        <v>31</v>
      </c>
      <c r="F30" s="7" t="s">
        <v>24</v>
      </c>
      <c r="G30" s="7">
        <v>1036.0</v>
      </c>
      <c r="H30" s="7">
        <v>100.0</v>
      </c>
      <c r="I30" s="7">
        <v>64.0</v>
      </c>
      <c r="J30" s="8">
        <f t="shared" si="1"/>
        <v>0.64</v>
      </c>
      <c r="K30" s="7" t="str">
        <f t="shared" si="2"/>
        <v>NOT ELIGIBLE</v>
      </c>
      <c r="L30" s="7" t="s">
        <v>199</v>
      </c>
      <c r="M30" s="7" t="s">
        <v>200</v>
      </c>
      <c r="N30" s="9">
        <v>1100.0</v>
      </c>
      <c r="O30" s="9">
        <v>700.0</v>
      </c>
      <c r="P30" s="9">
        <f t="shared" si="3"/>
        <v>400</v>
      </c>
      <c r="Q30" s="7" t="str">
        <f t="shared" si="4"/>
        <v>PARTIAL</v>
      </c>
      <c r="R30" s="11">
        <v>46079.0</v>
      </c>
    </row>
    <row r="31" ht="15.75" customHeight="1">
      <c r="A31" s="7">
        <v>29.0</v>
      </c>
      <c r="B31" s="7" t="s">
        <v>202</v>
      </c>
      <c r="C31" s="7" t="s">
        <v>203</v>
      </c>
      <c r="D31" s="7" t="s">
        <v>204</v>
      </c>
      <c r="E31" s="7" t="s">
        <v>76</v>
      </c>
      <c r="F31" s="7" t="s">
        <v>40</v>
      </c>
      <c r="G31" s="7">
        <v>1073.0</v>
      </c>
      <c r="H31" s="7">
        <v>100.0</v>
      </c>
      <c r="I31" s="7">
        <v>59.0</v>
      </c>
      <c r="J31" s="8">
        <f t="shared" si="1"/>
        <v>0.59</v>
      </c>
      <c r="K31" s="7" t="str">
        <f t="shared" si="2"/>
        <v>NOT ELIGIBLE</v>
      </c>
      <c r="L31" s="7" t="s">
        <v>205</v>
      </c>
      <c r="M31" s="7" t="s">
        <v>206</v>
      </c>
      <c r="N31" s="9">
        <v>1300.0</v>
      </c>
      <c r="O31" s="9">
        <v>700.0</v>
      </c>
      <c r="P31" s="9">
        <f t="shared" si="3"/>
        <v>600</v>
      </c>
      <c r="Q31" s="7" t="str">
        <f t="shared" si="4"/>
        <v>PARTIAL</v>
      </c>
      <c r="R31" s="11">
        <v>46081.0</v>
      </c>
    </row>
    <row r="32" ht="15.75" customHeight="1">
      <c r="A32" s="7">
        <v>30.0</v>
      </c>
      <c r="B32" s="7" t="s">
        <v>208</v>
      </c>
      <c r="C32" s="7" t="s">
        <v>209</v>
      </c>
      <c r="D32" s="7" t="s">
        <v>210</v>
      </c>
      <c r="E32" s="7" t="s">
        <v>47</v>
      </c>
      <c r="F32" s="7" t="s">
        <v>32</v>
      </c>
      <c r="G32" s="7">
        <v>1010.0</v>
      </c>
      <c r="H32" s="7">
        <v>100.0</v>
      </c>
      <c r="I32" s="7">
        <v>87.0</v>
      </c>
      <c r="J32" s="8">
        <f t="shared" si="1"/>
        <v>0.87</v>
      </c>
      <c r="K32" s="7" t="str">
        <f t="shared" si="2"/>
        <v>ELIGIBLE</v>
      </c>
      <c r="L32" s="7" t="s">
        <v>211</v>
      </c>
      <c r="M32" s="7" t="s">
        <v>212</v>
      </c>
      <c r="N32" s="9">
        <v>1400.0</v>
      </c>
      <c r="O32" s="9">
        <v>1400.0</v>
      </c>
      <c r="P32" s="9">
        <f t="shared" si="3"/>
        <v>0</v>
      </c>
      <c r="Q32" s="7" t="str">
        <f t="shared" si="4"/>
        <v>PAID</v>
      </c>
      <c r="R32" s="11">
        <v>46083.0</v>
      </c>
    </row>
    <row r="33" ht="15.75" customHeight="1">
      <c r="A33" s="7">
        <v>31.0</v>
      </c>
      <c r="B33" s="7" t="s">
        <v>214</v>
      </c>
      <c r="C33" s="7" t="s">
        <v>215</v>
      </c>
      <c r="D33" s="7" t="s">
        <v>216</v>
      </c>
      <c r="E33" s="7" t="s">
        <v>39</v>
      </c>
      <c r="F33" s="7" t="s">
        <v>48</v>
      </c>
      <c r="G33" s="7">
        <v>1047.0</v>
      </c>
      <c r="H33" s="7">
        <v>100.0</v>
      </c>
      <c r="I33" s="7">
        <v>76.0</v>
      </c>
      <c r="J33" s="8">
        <f t="shared" si="1"/>
        <v>0.76</v>
      </c>
      <c r="K33" s="7" t="str">
        <f t="shared" si="2"/>
        <v>ELIGIBLE</v>
      </c>
      <c r="L33" s="7" t="s">
        <v>217</v>
      </c>
      <c r="M33" s="7" t="s">
        <v>218</v>
      </c>
      <c r="N33" s="9">
        <v>1500.0</v>
      </c>
      <c r="O33" s="9">
        <v>1500.0</v>
      </c>
      <c r="P33" s="9">
        <f t="shared" si="3"/>
        <v>0</v>
      </c>
      <c r="Q33" s="7" t="str">
        <f t="shared" si="4"/>
        <v>PAID</v>
      </c>
      <c r="R33" s="11">
        <v>46085.0</v>
      </c>
    </row>
    <row r="34" ht="15.75" customHeight="1">
      <c r="A34" s="7">
        <v>32.0</v>
      </c>
      <c r="B34" s="7" t="s">
        <v>220</v>
      </c>
      <c r="C34" s="7" t="s">
        <v>221</v>
      </c>
      <c r="D34" s="7" t="s">
        <v>222</v>
      </c>
      <c r="E34" s="7" t="s">
        <v>62</v>
      </c>
      <c r="F34" s="7" t="s">
        <v>24</v>
      </c>
      <c r="G34" s="7">
        <v>1084.0</v>
      </c>
      <c r="H34" s="7">
        <v>100.0</v>
      </c>
      <c r="I34" s="7">
        <v>82.0</v>
      </c>
      <c r="J34" s="8">
        <f t="shared" si="1"/>
        <v>0.82</v>
      </c>
      <c r="K34" s="7" t="str">
        <f t="shared" si="2"/>
        <v>ELIGIBLE</v>
      </c>
      <c r="L34" s="7" t="s">
        <v>223</v>
      </c>
      <c r="M34" s="7" t="s">
        <v>224</v>
      </c>
      <c r="N34" s="9">
        <v>1600.0</v>
      </c>
      <c r="O34" s="9">
        <v>1600.0</v>
      </c>
      <c r="P34" s="9">
        <f t="shared" si="3"/>
        <v>0</v>
      </c>
      <c r="Q34" s="7" t="str">
        <f t="shared" si="4"/>
        <v>PAID</v>
      </c>
      <c r="R34" s="11">
        <v>46087.0</v>
      </c>
    </row>
    <row r="35" ht="15.75" customHeight="1">
      <c r="A35" s="7">
        <v>33.0</v>
      </c>
      <c r="B35" s="7" t="s">
        <v>226</v>
      </c>
      <c r="C35" s="7" t="s">
        <v>227</v>
      </c>
      <c r="D35" s="7" t="s">
        <v>228</v>
      </c>
      <c r="E35" s="7" t="s">
        <v>23</v>
      </c>
      <c r="F35" s="7" t="s">
        <v>40</v>
      </c>
      <c r="G35" s="7">
        <v>1021.0</v>
      </c>
      <c r="H35" s="7">
        <v>100.0</v>
      </c>
      <c r="I35" s="7">
        <v>70.0</v>
      </c>
      <c r="J35" s="8">
        <f t="shared" si="1"/>
        <v>0.7</v>
      </c>
      <c r="K35" s="7" t="str">
        <f t="shared" si="2"/>
        <v>ELIGIBLE</v>
      </c>
      <c r="L35" s="7" t="s">
        <v>229</v>
      </c>
      <c r="M35" s="7" t="s">
        <v>230</v>
      </c>
      <c r="N35" s="9">
        <v>1700.0</v>
      </c>
      <c r="O35" s="9">
        <v>1700.0</v>
      </c>
      <c r="P35" s="9">
        <f t="shared" si="3"/>
        <v>0</v>
      </c>
      <c r="Q35" s="7" t="str">
        <f t="shared" si="4"/>
        <v>PAID</v>
      </c>
      <c r="R35" s="11">
        <v>46089.0</v>
      </c>
    </row>
    <row r="36" ht="15.75" customHeight="1">
      <c r="A36" s="7">
        <v>34.0</v>
      </c>
      <c r="B36" s="7" t="s">
        <v>232</v>
      </c>
      <c r="C36" s="7" t="s">
        <v>233</v>
      </c>
      <c r="D36" s="7" t="s">
        <v>234</v>
      </c>
      <c r="E36" s="7" t="s">
        <v>83</v>
      </c>
      <c r="F36" s="7" t="s">
        <v>32</v>
      </c>
      <c r="G36" s="7">
        <v>1058.0</v>
      </c>
      <c r="H36" s="7">
        <v>100.0</v>
      </c>
      <c r="I36" s="7">
        <v>67.0</v>
      </c>
      <c r="J36" s="8">
        <f t="shared" si="1"/>
        <v>0.67</v>
      </c>
      <c r="K36" s="7" t="str">
        <f t="shared" si="2"/>
        <v>NOT ELIGIBLE</v>
      </c>
      <c r="L36" s="7" t="s">
        <v>235</v>
      </c>
      <c r="M36" s="7" t="s">
        <v>236</v>
      </c>
      <c r="N36" s="9">
        <v>1800.0</v>
      </c>
      <c r="O36" s="9">
        <v>1800.0</v>
      </c>
      <c r="P36" s="9">
        <f t="shared" si="3"/>
        <v>0</v>
      </c>
      <c r="Q36" s="7" t="str">
        <f t="shared" si="4"/>
        <v>PAID</v>
      </c>
      <c r="R36" s="11">
        <v>46091.0</v>
      </c>
    </row>
    <row r="37" ht="15.75" customHeight="1">
      <c r="A37" s="7">
        <v>35.0</v>
      </c>
      <c r="B37" s="7" t="s">
        <v>238</v>
      </c>
      <c r="C37" s="7" t="s">
        <v>239</v>
      </c>
      <c r="D37" s="7" t="s">
        <v>240</v>
      </c>
      <c r="E37" s="7" t="s">
        <v>55</v>
      </c>
      <c r="F37" s="7" t="s">
        <v>48</v>
      </c>
      <c r="G37" s="7">
        <v>1095.0</v>
      </c>
      <c r="H37" s="7">
        <v>100.0</v>
      </c>
      <c r="I37" s="7">
        <v>85.0</v>
      </c>
      <c r="J37" s="8">
        <f t="shared" si="1"/>
        <v>0.85</v>
      </c>
      <c r="K37" s="7" t="str">
        <f t="shared" si="2"/>
        <v>ELIGIBLE</v>
      </c>
      <c r="L37" s="7" t="s">
        <v>241</v>
      </c>
      <c r="M37" s="7" t="s">
        <v>242</v>
      </c>
      <c r="N37" s="9">
        <v>1900.0</v>
      </c>
      <c r="O37" s="9">
        <v>1900.0</v>
      </c>
      <c r="P37" s="9">
        <f t="shared" si="3"/>
        <v>0</v>
      </c>
      <c r="Q37" s="7" t="str">
        <f t="shared" si="4"/>
        <v>PAID</v>
      </c>
      <c r="R37" s="11">
        <v>46093.0</v>
      </c>
    </row>
    <row r="38" ht="15.75" customHeight="1">
      <c r="A38" s="7">
        <v>36.0</v>
      </c>
      <c r="B38" s="7" t="s">
        <v>244</v>
      </c>
      <c r="C38" s="7" t="s">
        <v>245</v>
      </c>
      <c r="D38" s="7" t="s">
        <v>246</v>
      </c>
      <c r="E38" s="7" t="s">
        <v>90</v>
      </c>
      <c r="F38" s="7" t="s">
        <v>24</v>
      </c>
      <c r="G38" s="7">
        <v>1032.0</v>
      </c>
      <c r="H38" s="7">
        <v>100.0</v>
      </c>
      <c r="I38" s="7">
        <v>60.0</v>
      </c>
      <c r="J38" s="8">
        <f t="shared" si="1"/>
        <v>0.6</v>
      </c>
      <c r="K38" s="7" t="str">
        <f t="shared" si="2"/>
        <v>NOT ELIGIBLE</v>
      </c>
      <c r="L38" s="7" t="s">
        <v>247</v>
      </c>
      <c r="M38" s="7" t="s">
        <v>248</v>
      </c>
      <c r="N38" s="9">
        <v>2000.0</v>
      </c>
      <c r="O38" s="9">
        <v>2000.0</v>
      </c>
      <c r="P38" s="9">
        <f t="shared" si="3"/>
        <v>0</v>
      </c>
      <c r="Q38" s="7" t="str">
        <f t="shared" si="4"/>
        <v>PAID</v>
      </c>
      <c r="R38" s="11">
        <v>46095.0</v>
      </c>
    </row>
    <row r="39" ht="15.75" customHeight="1">
      <c r="A39" s="7">
        <v>37.0</v>
      </c>
      <c r="B39" s="7" t="s">
        <v>250</v>
      </c>
      <c r="C39" s="7" t="s">
        <v>251</v>
      </c>
      <c r="D39" s="7" t="s">
        <v>252</v>
      </c>
      <c r="E39" s="7" t="s">
        <v>69</v>
      </c>
      <c r="F39" s="7" t="s">
        <v>40</v>
      </c>
      <c r="G39" s="7">
        <v>1069.0</v>
      </c>
      <c r="H39" s="7">
        <v>100.0</v>
      </c>
      <c r="I39" s="7">
        <v>72.0</v>
      </c>
      <c r="J39" s="8">
        <f t="shared" si="1"/>
        <v>0.72</v>
      </c>
      <c r="K39" s="7" t="str">
        <f t="shared" si="2"/>
        <v>ELIGIBLE</v>
      </c>
      <c r="L39" s="7" t="s">
        <v>253</v>
      </c>
      <c r="M39" s="7" t="s">
        <v>254</v>
      </c>
      <c r="N39" s="9">
        <v>2100.0</v>
      </c>
      <c r="O39" s="9">
        <v>2100.0</v>
      </c>
      <c r="P39" s="9">
        <f t="shared" si="3"/>
        <v>0</v>
      </c>
      <c r="Q39" s="7" t="str">
        <f t="shared" si="4"/>
        <v>PAID</v>
      </c>
      <c r="R39" s="11">
        <v>46097.0</v>
      </c>
    </row>
    <row r="40" ht="18.0" customHeight="1">
      <c r="A40" s="7">
        <v>38.0</v>
      </c>
      <c r="B40" s="7" t="s">
        <v>256</v>
      </c>
      <c r="C40" s="7" t="s">
        <v>257</v>
      </c>
      <c r="D40" s="7" t="s">
        <v>258</v>
      </c>
      <c r="E40" s="7" t="s">
        <v>31</v>
      </c>
      <c r="F40" s="7" t="s">
        <v>32</v>
      </c>
      <c r="G40" s="7">
        <v>1006.0</v>
      </c>
      <c r="H40" s="7">
        <v>100.0</v>
      </c>
      <c r="I40" s="7">
        <v>68.0</v>
      </c>
      <c r="J40" s="8">
        <f t="shared" si="1"/>
        <v>0.68</v>
      </c>
      <c r="K40" s="7" t="str">
        <f t="shared" si="2"/>
        <v>NOT ELIGIBLE</v>
      </c>
      <c r="L40" s="7" t="s">
        <v>259</v>
      </c>
      <c r="M40" s="7" t="s">
        <v>260</v>
      </c>
      <c r="N40" s="9">
        <v>2200.0</v>
      </c>
      <c r="O40" s="9">
        <v>2200.0</v>
      </c>
      <c r="P40" s="9">
        <f t="shared" si="3"/>
        <v>0</v>
      </c>
      <c r="Q40" s="7" t="str">
        <f t="shared" si="4"/>
        <v>PAID</v>
      </c>
      <c r="R40" s="11">
        <v>46099.0</v>
      </c>
    </row>
    <row r="41" ht="18.0" customHeight="1">
      <c r="A41" s="7">
        <v>39.0</v>
      </c>
      <c r="B41" s="7" t="s">
        <v>262</v>
      </c>
      <c r="C41" s="7" t="s">
        <v>263</v>
      </c>
      <c r="D41" s="7" t="s">
        <v>264</v>
      </c>
      <c r="E41" s="7" t="s">
        <v>76</v>
      </c>
      <c r="F41" s="7" t="s">
        <v>48</v>
      </c>
      <c r="G41" s="7">
        <v>1043.0</v>
      </c>
      <c r="H41" s="7">
        <v>100.0</v>
      </c>
      <c r="I41" s="7">
        <v>90.0</v>
      </c>
      <c r="J41" s="8">
        <f t="shared" si="1"/>
        <v>0.9</v>
      </c>
      <c r="K41" s="7" t="str">
        <f t="shared" si="2"/>
        <v>ELIGIBLE</v>
      </c>
      <c r="L41" s="7" t="s">
        <v>265</v>
      </c>
      <c r="M41" s="7" t="s">
        <v>266</v>
      </c>
      <c r="N41" s="9">
        <v>2300.0</v>
      </c>
      <c r="O41" s="9">
        <v>2300.0</v>
      </c>
      <c r="P41" s="9">
        <f t="shared" si="3"/>
        <v>0</v>
      </c>
      <c r="Q41" s="7" t="str">
        <f t="shared" si="4"/>
        <v>PAID</v>
      </c>
      <c r="R41" s="11">
        <v>46101.0</v>
      </c>
    </row>
    <row r="42" ht="18.0" customHeight="1">
      <c r="A42" s="7">
        <v>40.0</v>
      </c>
      <c r="B42" s="7" t="s">
        <v>268</v>
      </c>
      <c r="C42" s="7" t="s">
        <v>269</v>
      </c>
      <c r="D42" s="7" t="s">
        <v>270</v>
      </c>
      <c r="E42" s="7" t="s">
        <v>47</v>
      </c>
      <c r="F42" s="7" t="s">
        <v>24</v>
      </c>
      <c r="G42" s="7">
        <v>1080.0</v>
      </c>
      <c r="H42" s="7">
        <v>100.0</v>
      </c>
      <c r="I42" s="7">
        <v>75.0</v>
      </c>
      <c r="J42" s="8">
        <f t="shared" si="1"/>
        <v>0.75</v>
      </c>
      <c r="K42" s="7" t="str">
        <f t="shared" si="2"/>
        <v>ELIGIBLE</v>
      </c>
      <c r="L42" s="7" t="s">
        <v>271</v>
      </c>
      <c r="M42" s="7" t="s">
        <v>272</v>
      </c>
      <c r="N42" s="9">
        <v>2400.0</v>
      </c>
      <c r="O42" s="9">
        <v>2400.0</v>
      </c>
      <c r="P42" s="9">
        <f t="shared" si="3"/>
        <v>0</v>
      </c>
      <c r="Q42" s="7" t="str">
        <f t="shared" si="4"/>
        <v>PAID</v>
      </c>
      <c r="R42" s="11">
        <v>46103.0</v>
      </c>
    </row>
    <row r="43" ht="15.75" customHeight="1">
      <c r="A43" s="7">
        <v>41.0</v>
      </c>
      <c r="B43" s="7" t="s">
        <v>274</v>
      </c>
      <c r="C43" s="7" t="s">
        <v>275</v>
      </c>
      <c r="D43" s="7" t="s">
        <v>276</v>
      </c>
      <c r="E43" s="7" t="s">
        <v>39</v>
      </c>
      <c r="F43" s="7" t="s">
        <v>40</v>
      </c>
      <c r="G43" s="7">
        <v>1017.0</v>
      </c>
      <c r="H43" s="7">
        <v>100.0</v>
      </c>
      <c r="I43" s="7">
        <v>80.0</v>
      </c>
      <c r="J43" s="8">
        <f t="shared" si="1"/>
        <v>0.8</v>
      </c>
      <c r="K43" s="7" t="str">
        <f t="shared" si="2"/>
        <v>ELIGIBLE</v>
      </c>
      <c r="L43" s="7" t="s">
        <v>277</v>
      </c>
      <c r="M43" s="7" t="s">
        <v>278</v>
      </c>
      <c r="N43" s="9">
        <v>2500.0</v>
      </c>
      <c r="O43" s="9">
        <v>2500.0</v>
      </c>
      <c r="P43" s="9">
        <f t="shared" si="3"/>
        <v>0</v>
      </c>
      <c r="Q43" s="7" t="str">
        <f t="shared" si="4"/>
        <v>PAID</v>
      </c>
      <c r="R43" s="11">
        <v>46105.0</v>
      </c>
    </row>
    <row r="44" ht="15.75" customHeight="1">
      <c r="A44" s="7">
        <v>42.0</v>
      </c>
      <c r="B44" s="7" t="s">
        <v>280</v>
      </c>
      <c r="C44" s="7" t="s">
        <v>281</v>
      </c>
      <c r="D44" s="7" t="s">
        <v>282</v>
      </c>
      <c r="E44" s="7" t="s">
        <v>62</v>
      </c>
      <c r="F44" s="7" t="s">
        <v>32</v>
      </c>
      <c r="G44" s="7">
        <v>1054.0</v>
      </c>
      <c r="H44" s="7">
        <v>100.0</v>
      </c>
      <c r="I44" s="7">
        <v>66.0</v>
      </c>
      <c r="J44" s="8">
        <f t="shared" si="1"/>
        <v>0.66</v>
      </c>
      <c r="K44" s="7" t="str">
        <f t="shared" si="2"/>
        <v>NOT ELIGIBLE</v>
      </c>
      <c r="L44" s="7" t="s">
        <v>283</v>
      </c>
      <c r="M44" s="7" t="s">
        <v>284</v>
      </c>
      <c r="N44" s="9">
        <v>2600.0</v>
      </c>
      <c r="O44" s="9">
        <v>2600.0</v>
      </c>
      <c r="P44" s="9">
        <f t="shared" si="3"/>
        <v>0</v>
      </c>
      <c r="Q44" s="7" t="str">
        <f t="shared" si="4"/>
        <v>PAID</v>
      </c>
      <c r="R44" s="11">
        <v>46107.0</v>
      </c>
    </row>
    <row r="45" ht="15.75" customHeight="1">
      <c r="A45" s="7">
        <v>43.0</v>
      </c>
      <c r="B45" s="7" t="s">
        <v>286</v>
      </c>
      <c r="C45" s="7" t="s">
        <v>287</v>
      </c>
      <c r="D45" s="7" t="s">
        <v>288</v>
      </c>
      <c r="E45" s="7" t="s">
        <v>23</v>
      </c>
      <c r="F45" s="7" t="s">
        <v>48</v>
      </c>
      <c r="G45" s="7">
        <v>1091.0</v>
      </c>
      <c r="H45" s="7">
        <v>100.0</v>
      </c>
      <c r="I45" s="7">
        <v>58.0</v>
      </c>
      <c r="J45" s="8">
        <f t="shared" si="1"/>
        <v>0.58</v>
      </c>
      <c r="K45" s="7" t="str">
        <f t="shared" si="2"/>
        <v>NOT ELIGIBLE</v>
      </c>
      <c r="L45" s="7" t="s">
        <v>289</v>
      </c>
      <c r="M45" s="7" t="s">
        <v>290</v>
      </c>
      <c r="N45" s="9">
        <v>2700.0</v>
      </c>
      <c r="O45" s="9">
        <v>2700.0</v>
      </c>
      <c r="P45" s="9">
        <f t="shared" si="3"/>
        <v>0</v>
      </c>
      <c r="Q45" s="7" t="str">
        <f t="shared" si="4"/>
        <v>PAID</v>
      </c>
      <c r="R45" s="11">
        <v>46109.0</v>
      </c>
    </row>
    <row r="46" ht="15.75" customHeight="1">
      <c r="A46" s="7">
        <v>44.0</v>
      </c>
      <c r="B46" s="7" t="s">
        <v>292</v>
      </c>
      <c r="C46" s="7" t="s">
        <v>293</v>
      </c>
      <c r="D46" s="7" t="s">
        <v>294</v>
      </c>
      <c r="E46" s="7" t="s">
        <v>83</v>
      </c>
      <c r="F46" s="7" t="s">
        <v>24</v>
      </c>
      <c r="G46" s="7">
        <v>1028.0</v>
      </c>
      <c r="H46" s="7">
        <v>100.0</v>
      </c>
      <c r="I46" s="7">
        <v>73.0</v>
      </c>
      <c r="J46" s="8">
        <f t="shared" si="1"/>
        <v>0.73</v>
      </c>
      <c r="K46" s="7" t="str">
        <f t="shared" si="2"/>
        <v>ELIGIBLE</v>
      </c>
      <c r="L46" s="7" t="s">
        <v>295</v>
      </c>
      <c r="M46" s="7" t="s">
        <v>296</v>
      </c>
      <c r="N46" s="9">
        <v>2800.0</v>
      </c>
      <c r="O46" s="9">
        <v>2800.0</v>
      </c>
      <c r="P46" s="9">
        <f t="shared" si="3"/>
        <v>0</v>
      </c>
      <c r="Q46" s="7" t="str">
        <f t="shared" si="4"/>
        <v>PAID</v>
      </c>
      <c r="R46" s="11">
        <v>46111.0</v>
      </c>
    </row>
    <row r="47" ht="15.75" customHeight="1">
      <c r="A47" s="7">
        <v>45.0</v>
      </c>
      <c r="B47" s="7" t="s">
        <v>298</v>
      </c>
      <c r="C47" s="7" t="s">
        <v>299</v>
      </c>
      <c r="D47" s="7" t="s">
        <v>300</v>
      </c>
      <c r="E47" s="7" t="s">
        <v>55</v>
      </c>
      <c r="F47" s="7" t="s">
        <v>40</v>
      </c>
      <c r="G47" s="7">
        <v>1065.0</v>
      </c>
      <c r="H47" s="7">
        <v>100.0</v>
      </c>
      <c r="I47" s="7">
        <v>77.0</v>
      </c>
      <c r="J47" s="8">
        <f t="shared" si="1"/>
        <v>0.77</v>
      </c>
      <c r="K47" s="7" t="str">
        <f t="shared" si="2"/>
        <v>ELIGIBLE</v>
      </c>
      <c r="L47" s="7" t="s">
        <v>301</v>
      </c>
      <c r="M47" s="7" t="s">
        <v>302</v>
      </c>
      <c r="N47" s="9">
        <v>3000.0</v>
      </c>
      <c r="O47" s="9">
        <v>3000.0</v>
      </c>
      <c r="P47" s="9">
        <f t="shared" si="3"/>
        <v>0</v>
      </c>
      <c r="Q47" s="7" t="str">
        <f t="shared" si="4"/>
        <v>PAID</v>
      </c>
      <c r="R47" s="11">
        <v>46113.0</v>
      </c>
    </row>
    <row r="48" ht="18.0" customHeight="1">
      <c r="A48" s="7">
        <v>46.0</v>
      </c>
      <c r="B48" s="7" t="s">
        <v>304</v>
      </c>
      <c r="C48" s="7" t="s">
        <v>305</v>
      </c>
      <c r="D48" s="7" t="s">
        <v>306</v>
      </c>
      <c r="E48" s="7" t="s">
        <v>90</v>
      </c>
      <c r="F48" s="7" t="s">
        <v>32</v>
      </c>
      <c r="G48" s="7">
        <v>1002.0</v>
      </c>
      <c r="H48" s="7">
        <v>100.0</v>
      </c>
      <c r="I48" s="7">
        <v>84.0</v>
      </c>
      <c r="J48" s="8">
        <f t="shared" si="1"/>
        <v>0.84</v>
      </c>
      <c r="K48" s="7" t="str">
        <f t="shared" si="2"/>
        <v>ELIGIBLE</v>
      </c>
      <c r="L48" s="7" t="s">
        <v>307</v>
      </c>
      <c r="M48" s="7" t="s">
        <v>308</v>
      </c>
      <c r="N48" s="9">
        <v>1200.0</v>
      </c>
      <c r="O48" s="9">
        <v>1200.0</v>
      </c>
      <c r="P48" s="9">
        <f t="shared" si="3"/>
        <v>0</v>
      </c>
      <c r="Q48" s="7" t="str">
        <f t="shared" si="4"/>
        <v>PAID</v>
      </c>
      <c r="R48" s="11">
        <v>46115.0</v>
      </c>
    </row>
    <row r="49" ht="15.75" customHeight="1">
      <c r="A49" s="7">
        <v>47.0</v>
      </c>
      <c r="B49" s="7" t="s">
        <v>310</v>
      </c>
      <c r="C49" s="7" t="s">
        <v>311</v>
      </c>
      <c r="D49" s="7" t="s">
        <v>312</v>
      </c>
      <c r="E49" s="7" t="s">
        <v>69</v>
      </c>
      <c r="F49" s="7" t="s">
        <v>48</v>
      </c>
      <c r="G49" s="7">
        <v>1039.0</v>
      </c>
      <c r="H49" s="7">
        <v>100.0</v>
      </c>
      <c r="I49" s="7">
        <v>69.0</v>
      </c>
      <c r="J49" s="8">
        <f t="shared" si="1"/>
        <v>0.69</v>
      </c>
      <c r="K49" s="7" t="str">
        <f t="shared" si="2"/>
        <v>NOT ELIGIBLE</v>
      </c>
      <c r="L49" s="7" t="s">
        <v>313</v>
      </c>
      <c r="M49" s="7" t="s">
        <v>314</v>
      </c>
      <c r="N49" s="9">
        <v>1300.0</v>
      </c>
      <c r="O49" s="9">
        <v>1300.0</v>
      </c>
      <c r="P49" s="9">
        <f t="shared" si="3"/>
        <v>0</v>
      </c>
      <c r="Q49" s="7" t="str">
        <f t="shared" si="4"/>
        <v>PAID</v>
      </c>
      <c r="R49" s="11">
        <v>46117.0</v>
      </c>
    </row>
    <row r="50" ht="15.75" customHeight="1">
      <c r="A50" s="7">
        <v>48.0</v>
      </c>
      <c r="B50" s="7" t="s">
        <v>316</v>
      </c>
      <c r="C50" s="7" t="s">
        <v>317</v>
      </c>
      <c r="D50" s="7" t="s">
        <v>318</v>
      </c>
      <c r="E50" s="7" t="s">
        <v>31</v>
      </c>
      <c r="F50" s="7" t="s">
        <v>24</v>
      </c>
      <c r="G50" s="7">
        <v>1076.0</v>
      </c>
      <c r="H50" s="7">
        <v>100.0</v>
      </c>
      <c r="I50" s="7">
        <v>71.0</v>
      </c>
      <c r="J50" s="8">
        <f t="shared" si="1"/>
        <v>0.71</v>
      </c>
      <c r="K50" s="7" t="str">
        <f t="shared" si="2"/>
        <v>ELIGIBLE</v>
      </c>
      <c r="L50" s="7" t="s">
        <v>319</v>
      </c>
      <c r="M50" s="7" t="s">
        <v>320</v>
      </c>
      <c r="N50" s="9">
        <v>1400.0</v>
      </c>
      <c r="O50" s="9">
        <v>1400.0</v>
      </c>
      <c r="P50" s="9">
        <f t="shared" si="3"/>
        <v>0</v>
      </c>
      <c r="Q50" s="7" t="str">
        <f t="shared" si="4"/>
        <v>PAID</v>
      </c>
      <c r="R50" s="11">
        <v>46119.0</v>
      </c>
    </row>
    <row r="51" ht="15.75" customHeight="1">
      <c r="A51" s="7">
        <v>49.0</v>
      </c>
      <c r="B51" s="7" t="s">
        <v>322</v>
      </c>
      <c r="C51" s="7" t="s">
        <v>323</v>
      </c>
      <c r="D51" s="7" t="s">
        <v>324</v>
      </c>
      <c r="E51" s="7" t="s">
        <v>76</v>
      </c>
      <c r="F51" s="7" t="s">
        <v>40</v>
      </c>
      <c r="G51" s="7">
        <v>1013.0</v>
      </c>
      <c r="H51" s="7">
        <v>100.0</v>
      </c>
      <c r="I51" s="7">
        <v>88.0</v>
      </c>
      <c r="J51" s="8">
        <f t="shared" si="1"/>
        <v>0.88</v>
      </c>
      <c r="K51" s="7" t="str">
        <f t="shared" si="2"/>
        <v>ELIGIBLE</v>
      </c>
      <c r="L51" s="7" t="s">
        <v>325</v>
      </c>
      <c r="M51" s="7" t="s">
        <v>326</v>
      </c>
      <c r="N51" s="9">
        <v>1500.0</v>
      </c>
      <c r="O51" s="9">
        <v>1500.0</v>
      </c>
      <c r="P51" s="9">
        <f t="shared" si="3"/>
        <v>0</v>
      </c>
      <c r="Q51" s="7" t="str">
        <f t="shared" si="4"/>
        <v>PAID</v>
      </c>
      <c r="R51" s="11">
        <v>46121.0</v>
      </c>
    </row>
    <row r="52" ht="15.75" customHeight="1">
      <c r="A52" s="7">
        <v>50.0</v>
      </c>
      <c r="B52" s="7" t="s">
        <v>328</v>
      </c>
      <c r="C52" s="7" t="s">
        <v>329</v>
      </c>
      <c r="D52" s="7" t="s">
        <v>330</v>
      </c>
      <c r="E52" s="7" t="s">
        <v>47</v>
      </c>
      <c r="F52" s="7" t="s">
        <v>32</v>
      </c>
      <c r="G52" s="7">
        <v>1050.0</v>
      </c>
      <c r="H52" s="7">
        <v>100.0</v>
      </c>
      <c r="I52" s="7">
        <v>62.0</v>
      </c>
      <c r="J52" s="8">
        <f t="shared" si="1"/>
        <v>0.62</v>
      </c>
      <c r="K52" s="7" t="str">
        <f t="shared" si="2"/>
        <v>NOT ELIGIBLE</v>
      </c>
      <c r="L52" s="7" t="s">
        <v>331</v>
      </c>
      <c r="M52" s="7" t="s">
        <v>332</v>
      </c>
      <c r="N52" s="9">
        <v>1600.0</v>
      </c>
      <c r="O52" s="9">
        <v>1600.0</v>
      </c>
      <c r="P52" s="9">
        <f t="shared" si="3"/>
        <v>0</v>
      </c>
      <c r="Q52" s="7" t="str">
        <f t="shared" si="4"/>
        <v>PAID</v>
      </c>
      <c r="R52" s="11">
        <v>46123.0</v>
      </c>
    </row>
    <row r="53" ht="18.0" customHeight="1">
      <c r="A53" s="7">
        <v>51.0</v>
      </c>
      <c r="B53" s="7" t="s">
        <v>334</v>
      </c>
      <c r="C53" s="7" t="s">
        <v>335</v>
      </c>
      <c r="D53" s="7" t="s">
        <v>336</v>
      </c>
      <c r="E53" s="7" t="s">
        <v>39</v>
      </c>
      <c r="F53" s="7" t="s">
        <v>48</v>
      </c>
      <c r="G53" s="7">
        <v>1087.0</v>
      </c>
      <c r="H53" s="7">
        <v>100.0</v>
      </c>
      <c r="I53" s="7">
        <v>79.0</v>
      </c>
      <c r="J53" s="8">
        <f t="shared" si="1"/>
        <v>0.79</v>
      </c>
      <c r="K53" s="7" t="str">
        <f t="shared" si="2"/>
        <v>ELIGIBLE</v>
      </c>
      <c r="L53" s="7" t="s">
        <v>337</v>
      </c>
      <c r="M53" s="7" t="s">
        <v>338</v>
      </c>
      <c r="N53" s="9">
        <v>1700.0</v>
      </c>
      <c r="O53" s="9">
        <v>1700.0</v>
      </c>
      <c r="P53" s="9">
        <f t="shared" si="3"/>
        <v>0</v>
      </c>
      <c r="Q53" s="7" t="str">
        <f t="shared" si="4"/>
        <v>PAID</v>
      </c>
      <c r="R53" s="11">
        <v>46125.0</v>
      </c>
    </row>
    <row r="54" ht="20.25" customHeight="1">
      <c r="A54" s="7">
        <v>52.0</v>
      </c>
      <c r="B54" s="7" t="s">
        <v>340</v>
      </c>
      <c r="C54" s="7" t="s">
        <v>341</v>
      </c>
      <c r="D54" s="7" t="s">
        <v>342</v>
      </c>
      <c r="E54" s="7" t="s">
        <v>62</v>
      </c>
      <c r="F54" s="7" t="s">
        <v>24</v>
      </c>
      <c r="G54" s="7">
        <v>1024.0</v>
      </c>
      <c r="H54" s="7">
        <v>100.0</v>
      </c>
      <c r="I54" s="7">
        <v>65.0</v>
      </c>
      <c r="J54" s="8">
        <f t="shared" si="1"/>
        <v>0.65</v>
      </c>
      <c r="K54" s="7" t="str">
        <f t="shared" si="2"/>
        <v>NOT ELIGIBLE</v>
      </c>
      <c r="L54" s="7" t="s">
        <v>343</v>
      </c>
      <c r="M54" s="7" t="s">
        <v>344</v>
      </c>
      <c r="N54" s="9">
        <v>1800.0</v>
      </c>
      <c r="O54" s="9">
        <v>1800.0</v>
      </c>
      <c r="P54" s="9">
        <f t="shared" si="3"/>
        <v>0</v>
      </c>
      <c r="Q54" s="7" t="str">
        <f t="shared" si="4"/>
        <v>PAID</v>
      </c>
      <c r="R54" s="11">
        <v>46127.0</v>
      </c>
    </row>
    <row r="55" ht="15.75" customHeight="1">
      <c r="A55" s="7">
        <v>53.0</v>
      </c>
      <c r="B55" s="7" t="s">
        <v>346</v>
      </c>
      <c r="C55" s="7" t="s">
        <v>347</v>
      </c>
      <c r="D55" s="7" t="s">
        <v>348</v>
      </c>
      <c r="E55" s="7" t="s">
        <v>23</v>
      </c>
      <c r="F55" s="7" t="s">
        <v>40</v>
      </c>
      <c r="G55" s="7">
        <v>1061.0</v>
      </c>
      <c r="H55" s="7">
        <v>100.0</v>
      </c>
      <c r="I55" s="7">
        <v>74.0</v>
      </c>
      <c r="J55" s="8">
        <f t="shared" si="1"/>
        <v>0.74</v>
      </c>
      <c r="K55" s="7" t="str">
        <f t="shared" si="2"/>
        <v>ELIGIBLE</v>
      </c>
      <c r="L55" s="7" t="s">
        <v>349</v>
      </c>
      <c r="M55" s="7" t="s">
        <v>350</v>
      </c>
      <c r="N55" s="9">
        <v>1900.0</v>
      </c>
      <c r="O55" s="9">
        <v>1900.0</v>
      </c>
      <c r="P55" s="9">
        <f t="shared" si="3"/>
        <v>0</v>
      </c>
      <c r="Q55" s="7" t="str">
        <f t="shared" si="4"/>
        <v>PAID</v>
      </c>
      <c r="R55" s="11">
        <v>46129.0</v>
      </c>
    </row>
    <row r="56" ht="15.75" customHeight="1">
      <c r="A56" s="7">
        <v>54.0</v>
      </c>
      <c r="B56" s="7" t="s">
        <v>352</v>
      </c>
      <c r="C56" s="7" t="s">
        <v>353</v>
      </c>
      <c r="D56" s="7" t="s">
        <v>354</v>
      </c>
      <c r="E56" s="7" t="s">
        <v>83</v>
      </c>
      <c r="F56" s="7" t="s">
        <v>32</v>
      </c>
      <c r="G56" s="7">
        <v>1098.0</v>
      </c>
      <c r="H56" s="7">
        <v>100.0</v>
      </c>
      <c r="I56" s="7">
        <v>83.0</v>
      </c>
      <c r="J56" s="8">
        <f t="shared" si="1"/>
        <v>0.83</v>
      </c>
      <c r="K56" s="7" t="str">
        <f t="shared" si="2"/>
        <v>ELIGIBLE</v>
      </c>
      <c r="L56" s="7" t="s">
        <v>355</v>
      </c>
      <c r="M56" s="7" t="s">
        <v>356</v>
      </c>
      <c r="N56" s="9">
        <v>2000.0</v>
      </c>
      <c r="O56" s="9">
        <v>2000.0</v>
      </c>
      <c r="P56" s="9">
        <f t="shared" si="3"/>
        <v>0</v>
      </c>
      <c r="Q56" s="7" t="str">
        <f t="shared" si="4"/>
        <v>PAID</v>
      </c>
      <c r="R56" s="11">
        <v>46131.0</v>
      </c>
    </row>
    <row r="57" ht="22.5" customHeight="1">
      <c r="A57" s="7">
        <v>55.0</v>
      </c>
      <c r="B57" s="7" t="s">
        <v>358</v>
      </c>
      <c r="C57" s="7" t="s">
        <v>359</v>
      </c>
      <c r="D57" s="7" t="s">
        <v>360</v>
      </c>
      <c r="E57" s="7" t="s">
        <v>55</v>
      </c>
      <c r="F57" s="7" t="s">
        <v>48</v>
      </c>
      <c r="G57" s="7">
        <v>1035.0</v>
      </c>
      <c r="H57" s="7">
        <v>100.0</v>
      </c>
      <c r="I57" s="7">
        <v>57.0</v>
      </c>
      <c r="J57" s="8">
        <f t="shared" si="1"/>
        <v>0.57</v>
      </c>
      <c r="K57" s="7" t="str">
        <f t="shared" si="2"/>
        <v>NOT ELIGIBLE</v>
      </c>
      <c r="L57" s="7" t="s">
        <v>361</v>
      </c>
      <c r="M57" s="7" t="s">
        <v>362</v>
      </c>
      <c r="N57" s="9">
        <v>2100.0</v>
      </c>
      <c r="O57" s="9">
        <v>2100.0</v>
      </c>
      <c r="P57" s="9">
        <f t="shared" si="3"/>
        <v>0</v>
      </c>
      <c r="Q57" s="7" t="str">
        <f t="shared" si="4"/>
        <v>PAID</v>
      </c>
      <c r="R57" s="11">
        <v>46133.0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8.0" customHeight="1"/>
    <row r="96" ht="16.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3:Q57">
    <cfRule type="expression" dxfId="4" priority="1">
      <formula>Q3="PAID"</formula>
    </cfRule>
  </conditionalFormatting>
  <conditionalFormatting sqref="Q3:Q57">
    <cfRule type="expression" dxfId="5" priority="2">
      <formula>Q3="PARTIAL"</formula>
    </cfRule>
  </conditionalFormatting>
  <conditionalFormatting sqref="Q3:Q57">
    <cfRule type="expression" dxfId="6" priority="3">
      <formula>Q3="UNPAID"</formula>
    </cfRule>
  </conditionalFormatting>
  <conditionalFormatting sqref="K3:K57">
    <cfRule type="expression" dxfId="7" priority="4">
      <formula>K3="ELIGIBLE"</formula>
    </cfRule>
  </conditionalFormatting>
  <conditionalFormatting sqref="K3:K57">
    <cfRule type="expression" dxfId="8" priority="5">
      <formula>K3="NOT ELIGIBLE"</formula>
    </cfRule>
  </conditionalFormatting>
  <dataValidations>
    <dataValidation type="list" allowBlank="1" sqref="F3:F57">
      <formula1>Lists!$E$2:$E$5</formula1>
    </dataValidation>
    <dataValidation type="list" allowBlank="1" sqref="E3:E57">
      <formula1>Lists!$F$2:$F$11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9.63"/>
    <col customWidth="1" min="3" max="3" width="17.38"/>
    <col customWidth="1" min="4" max="4" width="19.13"/>
    <col customWidth="1" min="5" max="5" width="13.13"/>
    <col customWidth="1" min="6" max="6" width="14.0"/>
    <col customWidth="1" min="7" max="7" width="13.38"/>
    <col customWidth="1" min="8" max="8" width="10.63"/>
    <col customWidth="1" min="9" max="9" width="26.13"/>
    <col customWidth="1" min="10" max="10" width="15.38"/>
    <col customWidth="1" min="11" max="26" width="8.63"/>
  </cols>
  <sheetData>
    <row r="1" ht="60.0" customHeight="1">
      <c r="A1" s="12"/>
      <c r="B1" s="12"/>
      <c r="C1" s="12"/>
      <c r="D1" s="13"/>
      <c r="E1" s="14" t="s">
        <v>365</v>
      </c>
      <c r="F1" s="15"/>
      <c r="G1" s="15"/>
      <c r="H1" s="12"/>
      <c r="I1" s="12"/>
      <c r="J1" s="12"/>
    </row>
    <row r="2">
      <c r="A2" s="16" t="s">
        <v>366</v>
      </c>
      <c r="B2" s="16" t="s">
        <v>367</v>
      </c>
      <c r="C2" s="16" t="s">
        <v>4</v>
      </c>
      <c r="D2" s="16" t="s">
        <v>368</v>
      </c>
      <c r="E2" s="16" t="s">
        <v>369</v>
      </c>
      <c r="F2" s="16" t="s">
        <v>370</v>
      </c>
      <c r="G2" s="16" t="s">
        <v>371</v>
      </c>
      <c r="H2" s="16" t="s">
        <v>372</v>
      </c>
      <c r="I2" s="16" t="s">
        <v>13</v>
      </c>
      <c r="J2" s="16" t="s">
        <v>12</v>
      </c>
    </row>
    <row r="3">
      <c r="A3" s="17">
        <v>1.0</v>
      </c>
      <c r="B3" s="17" t="s">
        <v>376</v>
      </c>
      <c r="C3" s="17" t="s">
        <v>162</v>
      </c>
      <c r="D3" s="17" t="s">
        <v>377</v>
      </c>
      <c r="E3" s="17" t="s">
        <v>378</v>
      </c>
      <c r="F3" s="18">
        <v>44294.0</v>
      </c>
      <c r="G3" s="19">
        <v>46300.0</v>
      </c>
      <c r="H3" s="20" t="s">
        <v>379</v>
      </c>
      <c r="I3" s="17" t="s">
        <v>362</v>
      </c>
      <c r="J3" s="17" t="s">
        <v>380</v>
      </c>
    </row>
    <row r="4">
      <c r="A4" s="17">
        <v>2.0</v>
      </c>
      <c r="B4" s="17" t="s">
        <v>382</v>
      </c>
      <c r="C4" s="17" t="s">
        <v>138</v>
      </c>
      <c r="D4" s="17" t="s">
        <v>383</v>
      </c>
      <c r="E4" s="17" t="s">
        <v>378</v>
      </c>
      <c r="F4" s="18">
        <v>44757.0</v>
      </c>
      <c r="G4" s="19">
        <v>47600.0</v>
      </c>
      <c r="H4" s="22" t="s">
        <v>384</v>
      </c>
      <c r="I4" s="17" t="s">
        <v>254</v>
      </c>
      <c r="J4" s="17" t="s">
        <v>385</v>
      </c>
    </row>
    <row r="5">
      <c r="A5" s="17">
        <v>3.0</v>
      </c>
      <c r="B5" s="17" t="s">
        <v>387</v>
      </c>
      <c r="C5" s="17" t="s">
        <v>354</v>
      </c>
      <c r="D5" s="17" t="s">
        <v>388</v>
      </c>
      <c r="E5" s="17" t="s">
        <v>389</v>
      </c>
      <c r="F5" s="18">
        <v>45221.0</v>
      </c>
      <c r="G5" s="19">
        <v>48900.0</v>
      </c>
      <c r="H5" s="23" t="s">
        <v>390</v>
      </c>
      <c r="I5" s="17" t="s">
        <v>224</v>
      </c>
      <c r="J5" s="17" t="s">
        <v>391</v>
      </c>
    </row>
    <row r="6">
      <c r="A6" s="17">
        <v>4.0</v>
      </c>
      <c r="B6" s="17" t="s">
        <v>393</v>
      </c>
      <c r="C6" s="17" t="s">
        <v>276</v>
      </c>
      <c r="D6" s="17" t="s">
        <v>394</v>
      </c>
      <c r="E6" s="17" t="s">
        <v>395</v>
      </c>
      <c r="F6" s="18">
        <v>45292.0</v>
      </c>
      <c r="G6" s="19">
        <v>50200.0</v>
      </c>
      <c r="H6" s="23" t="s">
        <v>390</v>
      </c>
      <c r="I6" s="17" t="s">
        <v>164</v>
      </c>
      <c r="J6" s="17" t="s">
        <v>396</v>
      </c>
    </row>
    <row r="7">
      <c r="A7" s="17">
        <v>5.0</v>
      </c>
      <c r="B7" s="17" t="s">
        <v>398</v>
      </c>
      <c r="C7" s="17" t="s">
        <v>264</v>
      </c>
      <c r="D7" s="17" t="s">
        <v>399</v>
      </c>
      <c r="E7" s="17" t="s">
        <v>400</v>
      </c>
      <c r="F7" s="18">
        <v>43929.0</v>
      </c>
      <c r="G7" s="19">
        <v>51500.0</v>
      </c>
      <c r="H7" s="23" t="s">
        <v>390</v>
      </c>
      <c r="I7" s="17" t="s">
        <v>194</v>
      </c>
      <c r="J7" s="17" t="s">
        <v>401</v>
      </c>
    </row>
    <row r="8">
      <c r="A8" s="17">
        <v>6.0</v>
      </c>
      <c r="B8" s="17" t="s">
        <v>403</v>
      </c>
      <c r="C8" s="17" t="s">
        <v>336</v>
      </c>
      <c r="D8" s="17" t="s">
        <v>404</v>
      </c>
      <c r="E8" s="17" t="s">
        <v>405</v>
      </c>
      <c r="F8" s="18">
        <v>44392.0</v>
      </c>
      <c r="G8" s="19">
        <v>52800.0</v>
      </c>
      <c r="H8" s="23" t="s">
        <v>390</v>
      </c>
      <c r="I8" s="17" t="s">
        <v>122</v>
      </c>
      <c r="J8" s="17" t="s">
        <v>406</v>
      </c>
    </row>
    <row r="9">
      <c r="A9" s="17">
        <v>7.0</v>
      </c>
      <c r="B9" s="17" t="s">
        <v>408</v>
      </c>
      <c r="C9" s="17" t="s">
        <v>96</v>
      </c>
      <c r="D9" s="17" t="s">
        <v>409</v>
      </c>
      <c r="E9" s="17" t="s">
        <v>378</v>
      </c>
      <c r="F9" s="18">
        <v>44856.0</v>
      </c>
      <c r="G9" s="19">
        <v>54100.0</v>
      </c>
      <c r="H9" s="22" t="s">
        <v>384</v>
      </c>
      <c r="I9" s="17" t="s">
        <v>146</v>
      </c>
      <c r="J9" s="17" t="s">
        <v>410</v>
      </c>
    </row>
    <row r="10">
      <c r="A10" s="17">
        <v>8.0</v>
      </c>
      <c r="B10" s="17" t="s">
        <v>412</v>
      </c>
      <c r="C10" s="17" t="s">
        <v>330</v>
      </c>
      <c r="D10" s="17" t="s">
        <v>413</v>
      </c>
      <c r="E10" s="17" t="s">
        <v>400</v>
      </c>
      <c r="F10" s="18">
        <v>44927.0</v>
      </c>
      <c r="G10" s="19">
        <v>55400.0</v>
      </c>
      <c r="H10" s="20" t="s">
        <v>379</v>
      </c>
      <c r="I10" s="17" t="s">
        <v>332</v>
      </c>
      <c r="J10" s="17" t="s">
        <v>414</v>
      </c>
    </row>
    <row r="11">
      <c r="A11" s="17">
        <v>9.0</v>
      </c>
      <c r="B11" s="17" t="s">
        <v>416</v>
      </c>
      <c r="C11" s="17" t="s">
        <v>144</v>
      </c>
      <c r="D11" s="17" t="s">
        <v>417</v>
      </c>
      <c r="E11" s="17" t="s">
        <v>418</v>
      </c>
      <c r="F11" s="18">
        <v>45390.0</v>
      </c>
      <c r="G11" s="19">
        <v>56700.0</v>
      </c>
      <c r="H11" s="23" t="s">
        <v>390</v>
      </c>
      <c r="I11" s="17" t="s">
        <v>98</v>
      </c>
      <c r="J11" s="17" t="s">
        <v>419</v>
      </c>
    </row>
    <row r="12" ht="15.75" customHeight="1">
      <c r="A12" s="17">
        <v>10.0</v>
      </c>
      <c r="B12" s="17" t="s">
        <v>421</v>
      </c>
      <c r="C12" s="17" t="s">
        <v>348</v>
      </c>
      <c r="D12" s="17" t="s">
        <v>422</v>
      </c>
      <c r="E12" s="17" t="s">
        <v>389</v>
      </c>
      <c r="F12" s="18">
        <v>44027.0</v>
      </c>
      <c r="G12" s="19">
        <v>58000.0</v>
      </c>
      <c r="H12" s="23" t="s">
        <v>390</v>
      </c>
      <c r="I12" s="17" t="s">
        <v>200</v>
      </c>
      <c r="J12" s="17" t="s">
        <v>423</v>
      </c>
    </row>
    <row r="13">
      <c r="A13" s="17">
        <v>11.0</v>
      </c>
      <c r="B13" s="17" t="s">
        <v>425</v>
      </c>
      <c r="C13" s="17" t="s">
        <v>216</v>
      </c>
      <c r="D13" s="17" t="s">
        <v>426</v>
      </c>
      <c r="E13" s="17" t="s">
        <v>427</v>
      </c>
      <c r="F13" s="18">
        <v>44491.0</v>
      </c>
      <c r="G13" s="19">
        <v>59300.0</v>
      </c>
      <c r="H13" s="20" t="s">
        <v>379</v>
      </c>
      <c r="I13" s="17" t="s">
        <v>314</v>
      </c>
      <c r="J13" s="17" t="s">
        <v>428</v>
      </c>
    </row>
    <row r="14">
      <c r="A14" s="17">
        <v>12.0</v>
      </c>
      <c r="B14" s="17" t="s">
        <v>430</v>
      </c>
      <c r="C14" s="17" t="s">
        <v>264</v>
      </c>
      <c r="D14" s="17" t="s">
        <v>431</v>
      </c>
      <c r="E14" s="17" t="s">
        <v>432</v>
      </c>
      <c r="F14" s="18">
        <v>44562.0</v>
      </c>
      <c r="G14" s="19">
        <v>60600.0</v>
      </c>
      <c r="H14" s="22" t="s">
        <v>384</v>
      </c>
      <c r="I14" s="17" t="s">
        <v>332</v>
      </c>
      <c r="J14" s="17" t="s">
        <v>433</v>
      </c>
    </row>
    <row r="15">
      <c r="A15" s="17">
        <v>13.0</v>
      </c>
      <c r="B15" s="17" t="s">
        <v>435</v>
      </c>
      <c r="C15" s="17" t="s">
        <v>246</v>
      </c>
      <c r="D15" s="17" t="s">
        <v>436</v>
      </c>
      <c r="E15" s="17" t="s">
        <v>389</v>
      </c>
      <c r="F15" s="18">
        <v>45024.0</v>
      </c>
      <c r="G15" s="19">
        <v>61900.0</v>
      </c>
      <c r="H15" s="23" t="s">
        <v>390</v>
      </c>
      <c r="I15" s="17" t="s">
        <v>320</v>
      </c>
      <c r="J15" s="17" t="s">
        <v>437</v>
      </c>
    </row>
    <row r="16">
      <c r="A16" s="17">
        <v>14.0</v>
      </c>
      <c r="B16" s="17" t="s">
        <v>439</v>
      </c>
      <c r="C16" s="17" t="s">
        <v>336</v>
      </c>
      <c r="D16" s="17" t="s">
        <v>440</v>
      </c>
      <c r="E16" s="17" t="s">
        <v>400</v>
      </c>
      <c r="F16" s="18">
        <v>45488.0</v>
      </c>
      <c r="G16" s="19">
        <v>63200.0</v>
      </c>
      <c r="H16" s="23" t="s">
        <v>390</v>
      </c>
      <c r="I16" s="17" t="s">
        <v>254</v>
      </c>
      <c r="J16" s="17" t="s">
        <v>441</v>
      </c>
    </row>
    <row r="17">
      <c r="A17" s="17">
        <v>15.0</v>
      </c>
      <c r="B17" s="17" t="s">
        <v>443</v>
      </c>
      <c r="C17" s="17" t="s">
        <v>294</v>
      </c>
      <c r="D17" s="17" t="s">
        <v>444</v>
      </c>
      <c r="E17" s="17" t="s">
        <v>445</v>
      </c>
      <c r="F17" s="18">
        <v>44126.0</v>
      </c>
      <c r="G17" s="19">
        <v>64500.0</v>
      </c>
      <c r="H17" s="23" t="s">
        <v>390</v>
      </c>
      <c r="I17" s="17" t="s">
        <v>338</v>
      </c>
      <c r="J17" s="17" t="s">
        <v>446</v>
      </c>
    </row>
    <row r="18">
      <c r="A18" s="17">
        <v>16.0</v>
      </c>
      <c r="B18" s="17" t="s">
        <v>448</v>
      </c>
      <c r="C18" s="17" t="s">
        <v>180</v>
      </c>
      <c r="D18" s="17" t="s">
        <v>449</v>
      </c>
      <c r="E18" s="17" t="s">
        <v>450</v>
      </c>
      <c r="F18" s="18">
        <v>44197.0</v>
      </c>
      <c r="G18" s="19">
        <v>65800.0</v>
      </c>
      <c r="H18" s="23" t="s">
        <v>390</v>
      </c>
      <c r="I18" s="17" t="s">
        <v>212</v>
      </c>
      <c r="J18" s="17" t="s">
        <v>451</v>
      </c>
    </row>
    <row r="19">
      <c r="A19" s="17">
        <v>17.0</v>
      </c>
      <c r="B19" s="17" t="s">
        <v>453</v>
      </c>
      <c r="C19" s="17" t="s">
        <v>204</v>
      </c>
      <c r="D19" s="17" t="s">
        <v>454</v>
      </c>
      <c r="E19" s="17" t="s">
        <v>455</v>
      </c>
      <c r="F19" s="18">
        <v>44659.0</v>
      </c>
      <c r="G19" s="19">
        <v>67100.0</v>
      </c>
      <c r="H19" s="22" t="s">
        <v>384</v>
      </c>
      <c r="I19" s="17" t="s">
        <v>158</v>
      </c>
      <c r="J19" s="17" t="s">
        <v>456</v>
      </c>
    </row>
    <row r="20">
      <c r="A20" s="17">
        <v>18.0</v>
      </c>
      <c r="B20" s="17" t="s">
        <v>458</v>
      </c>
      <c r="C20" s="17" t="s">
        <v>138</v>
      </c>
      <c r="D20" s="17" t="s">
        <v>459</v>
      </c>
      <c r="E20" s="17" t="s">
        <v>455</v>
      </c>
      <c r="F20" s="18">
        <v>45122.0</v>
      </c>
      <c r="G20" s="19">
        <v>68400.0</v>
      </c>
      <c r="H20" s="20" t="s">
        <v>379</v>
      </c>
      <c r="I20" s="17" t="s">
        <v>296</v>
      </c>
      <c r="J20" s="17" t="s">
        <v>460</v>
      </c>
    </row>
    <row r="21" ht="15.75" customHeight="1">
      <c r="A21" s="17">
        <v>19.0</v>
      </c>
      <c r="B21" s="17" t="s">
        <v>462</v>
      </c>
      <c r="C21" s="17" t="s">
        <v>264</v>
      </c>
      <c r="D21" s="17" t="s">
        <v>463</v>
      </c>
      <c r="E21" s="17" t="s">
        <v>464</v>
      </c>
      <c r="F21" s="18">
        <v>45587.0</v>
      </c>
      <c r="G21" s="19">
        <v>69700.0</v>
      </c>
      <c r="H21" s="23" t="s">
        <v>390</v>
      </c>
      <c r="I21" s="17" t="s">
        <v>170</v>
      </c>
      <c r="J21" s="17" t="s">
        <v>465</v>
      </c>
    </row>
    <row r="22" ht="15.75" customHeight="1">
      <c r="A22" s="17">
        <v>20.0</v>
      </c>
      <c r="B22" s="17" t="s">
        <v>467</v>
      </c>
      <c r="C22" s="17" t="s">
        <v>114</v>
      </c>
      <c r="D22" s="17" t="s">
        <v>468</v>
      </c>
      <c r="E22" s="17" t="s">
        <v>389</v>
      </c>
      <c r="F22" s="18">
        <v>43831.0</v>
      </c>
      <c r="G22" s="19">
        <v>71000.0</v>
      </c>
      <c r="H22" s="23" t="s">
        <v>390</v>
      </c>
      <c r="I22" s="17" t="s">
        <v>260</v>
      </c>
      <c r="J22" s="17" t="s">
        <v>469</v>
      </c>
    </row>
    <row r="23" ht="15.75" customHeight="1">
      <c r="A23" s="17">
        <v>21.0</v>
      </c>
      <c r="B23" s="17" t="s">
        <v>471</v>
      </c>
      <c r="C23" s="17" t="s">
        <v>246</v>
      </c>
      <c r="D23" s="17" t="s">
        <v>472</v>
      </c>
      <c r="E23" s="17" t="s">
        <v>432</v>
      </c>
      <c r="F23" s="18">
        <v>44294.0</v>
      </c>
      <c r="G23" s="19">
        <v>72300.0</v>
      </c>
      <c r="H23" s="20" t="s">
        <v>379</v>
      </c>
      <c r="I23" s="17" t="s">
        <v>308</v>
      </c>
      <c r="J23" s="17" t="s">
        <v>473</v>
      </c>
    </row>
    <row r="24" ht="15.75" customHeight="1">
      <c r="A24" s="17">
        <v>22.0</v>
      </c>
      <c r="B24" s="17" t="s">
        <v>475</v>
      </c>
      <c r="C24" s="17" t="s">
        <v>294</v>
      </c>
      <c r="D24" s="17" t="s">
        <v>476</v>
      </c>
      <c r="E24" s="17" t="s">
        <v>418</v>
      </c>
      <c r="F24" s="18">
        <v>44757.0</v>
      </c>
      <c r="G24" s="19">
        <v>73600.0</v>
      </c>
      <c r="H24" s="22" t="s">
        <v>384</v>
      </c>
      <c r="I24" s="17" t="s">
        <v>134</v>
      </c>
      <c r="J24" s="17" t="s">
        <v>477</v>
      </c>
    </row>
    <row r="25" ht="15.75" customHeight="1">
      <c r="A25" s="17">
        <v>23.0</v>
      </c>
      <c r="B25" s="17" t="s">
        <v>479</v>
      </c>
      <c r="C25" s="17" t="s">
        <v>222</v>
      </c>
      <c r="D25" s="17" t="s">
        <v>480</v>
      </c>
      <c r="E25" s="17" t="s">
        <v>389</v>
      </c>
      <c r="F25" s="18">
        <v>45221.0</v>
      </c>
      <c r="G25" s="19">
        <v>74900.0</v>
      </c>
      <c r="H25" s="23" t="s">
        <v>390</v>
      </c>
      <c r="I25" s="17" t="s">
        <v>224</v>
      </c>
      <c r="J25" s="17" t="s">
        <v>481</v>
      </c>
    </row>
    <row r="26" ht="15.75" customHeight="1">
      <c r="A26" s="17">
        <v>24.0</v>
      </c>
      <c r="B26" s="17" t="s">
        <v>483</v>
      </c>
      <c r="C26" s="17" t="s">
        <v>294</v>
      </c>
      <c r="D26" s="17" t="s">
        <v>484</v>
      </c>
      <c r="E26" s="17" t="s">
        <v>395</v>
      </c>
      <c r="F26" s="18">
        <v>45292.0</v>
      </c>
      <c r="G26" s="19">
        <v>76200.0</v>
      </c>
      <c r="H26" s="23" t="s">
        <v>390</v>
      </c>
      <c r="I26" s="17" t="s">
        <v>362</v>
      </c>
      <c r="J26" s="17" t="s">
        <v>485</v>
      </c>
    </row>
    <row r="27" ht="15.75" customHeight="1">
      <c r="A27" s="17">
        <v>25.0</v>
      </c>
      <c r="B27" s="17" t="s">
        <v>487</v>
      </c>
      <c r="C27" s="17" t="s">
        <v>168</v>
      </c>
      <c r="D27" s="17" t="s">
        <v>488</v>
      </c>
      <c r="E27" s="17" t="s">
        <v>378</v>
      </c>
      <c r="F27" s="18">
        <v>43929.0</v>
      </c>
      <c r="G27" s="19">
        <v>77500.0</v>
      </c>
      <c r="H27" s="23" t="s">
        <v>390</v>
      </c>
      <c r="I27" s="17" t="s">
        <v>284</v>
      </c>
      <c r="J27" s="17" t="s">
        <v>489</v>
      </c>
    </row>
    <row r="28" ht="15.75" customHeight="1">
      <c r="A28" s="17">
        <v>26.0</v>
      </c>
      <c r="B28" s="17" t="s">
        <v>491</v>
      </c>
      <c r="C28" s="17" t="s">
        <v>270</v>
      </c>
      <c r="D28" s="17" t="s">
        <v>492</v>
      </c>
      <c r="E28" s="17" t="s">
        <v>378</v>
      </c>
      <c r="F28" s="18">
        <v>44392.0</v>
      </c>
      <c r="G28" s="19">
        <v>78800.0</v>
      </c>
      <c r="H28" s="23" t="s">
        <v>390</v>
      </c>
      <c r="I28" s="17" t="s">
        <v>272</v>
      </c>
      <c r="J28" s="17" t="s">
        <v>493</v>
      </c>
    </row>
    <row r="29" ht="15.75" customHeight="1">
      <c r="A29" s="17">
        <v>27.0</v>
      </c>
      <c r="B29" s="17" t="s">
        <v>495</v>
      </c>
      <c r="C29" s="17" t="s">
        <v>330</v>
      </c>
      <c r="D29" s="17" t="s">
        <v>496</v>
      </c>
      <c r="E29" s="17" t="s">
        <v>378</v>
      </c>
      <c r="F29" s="18">
        <v>44856.0</v>
      </c>
      <c r="G29" s="19">
        <v>80100.0</v>
      </c>
      <c r="H29" s="22" t="s">
        <v>384</v>
      </c>
      <c r="I29" s="17" t="s">
        <v>140</v>
      </c>
      <c r="J29" s="17" t="s">
        <v>497</v>
      </c>
    </row>
    <row r="30" ht="15.75" customHeight="1">
      <c r="A30" s="17">
        <v>28.0</v>
      </c>
      <c r="B30" s="17" t="s">
        <v>499</v>
      </c>
      <c r="C30" s="17" t="s">
        <v>354</v>
      </c>
      <c r="D30" s="17" t="s">
        <v>463</v>
      </c>
      <c r="E30" s="17" t="s">
        <v>400</v>
      </c>
      <c r="F30" s="18">
        <v>44927.0</v>
      </c>
      <c r="G30" s="19">
        <v>81400.0</v>
      </c>
      <c r="H30" s="20" t="s">
        <v>379</v>
      </c>
      <c r="I30" s="17" t="s">
        <v>314</v>
      </c>
      <c r="J30" s="17" t="s">
        <v>500</v>
      </c>
    </row>
    <row r="31" ht="15.75" customHeight="1">
      <c r="A31" s="17">
        <v>29.0</v>
      </c>
      <c r="B31" s="17" t="s">
        <v>502</v>
      </c>
      <c r="C31" s="17" t="s">
        <v>240</v>
      </c>
      <c r="D31" s="17" t="s">
        <v>503</v>
      </c>
      <c r="E31" s="17" t="s">
        <v>504</v>
      </c>
      <c r="F31" s="18">
        <v>45390.0</v>
      </c>
      <c r="G31" s="19">
        <v>82700.0</v>
      </c>
      <c r="H31" s="23" t="s">
        <v>390</v>
      </c>
      <c r="I31" s="17" t="s">
        <v>290</v>
      </c>
      <c r="J31" s="17" t="s">
        <v>505</v>
      </c>
    </row>
    <row r="32" ht="15.75" customHeight="1">
      <c r="A32" s="17">
        <v>30.0</v>
      </c>
      <c r="B32" s="17" t="s">
        <v>507</v>
      </c>
      <c r="C32" s="17" t="s">
        <v>126</v>
      </c>
      <c r="D32" s="17" t="s">
        <v>508</v>
      </c>
      <c r="E32" s="17" t="s">
        <v>389</v>
      </c>
      <c r="F32" s="18">
        <v>44027.0</v>
      </c>
      <c r="G32" s="19">
        <v>84000.0</v>
      </c>
      <c r="H32" s="23" t="s">
        <v>390</v>
      </c>
      <c r="I32" s="17" t="s">
        <v>272</v>
      </c>
      <c r="J32" s="17" t="s">
        <v>509</v>
      </c>
    </row>
    <row r="33" ht="15.75" customHeight="1">
      <c r="A33" s="17">
        <v>31.0</v>
      </c>
      <c r="B33" s="17" t="s">
        <v>511</v>
      </c>
      <c r="C33" s="17" t="s">
        <v>174</v>
      </c>
      <c r="D33" s="17" t="s">
        <v>512</v>
      </c>
      <c r="E33" s="17" t="s">
        <v>378</v>
      </c>
      <c r="F33" s="18">
        <v>44491.0</v>
      </c>
      <c r="G33" s="19">
        <v>85300.0</v>
      </c>
      <c r="H33" s="20" t="s">
        <v>379</v>
      </c>
      <c r="I33" s="17" t="s">
        <v>350</v>
      </c>
      <c r="J33" s="17" t="s">
        <v>513</v>
      </c>
    </row>
    <row r="34" ht="15.75" customHeight="1">
      <c r="A34" s="17">
        <v>32.0</v>
      </c>
      <c r="B34" s="17" t="s">
        <v>515</v>
      </c>
      <c r="C34" s="17" t="s">
        <v>96</v>
      </c>
      <c r="D34" s="17" t="s">
        <v>516</v>
      </c>
      <c r="E34" s="17" t="s">
        <v>517</v>
      </c>
      <c r="F34" s="18">
        <v>44562.0</v>
      </c>
      <c r="G34" s="19">
        <v>86600.0</v>
      </c>
      <c r="H34" s="22" t="s">
        <v>384</v>
      </c>
      <c r="I34" s="17" t="s">
        <v>290</v>
      </c>
      <c r="J34" s="17" t="s">
        <v>518</v>
      </c>
    </row>
    <row r="35" ht="15.75" customHeight="1">
      <c r="A35" s="17">
        <v>33.0</v>
      </c>
      <c r="B35" s="17" t="s">
        <v>520</v>
      </c>
      <c r="C35" s="17" t="s">
        <v>144</v>
      </c>
      <c r="D35" s="17" t="s">
        <v>521</v>
      </c>
      <c r="E35" s="17" t="s">
        <v>522</v>
      </c>
      <c r="F35" s="18">
        <v>45024.0</v>
      </c>
      <c r="G35" s="19">
        <v>87900.0</v>
      </c>
      <c r="H35" s="23" t="s">
        <v>390</v>
      </c>
      <c r="I35" s="17" t="s">
        <v>344</v>
      </c>
      <c r="J35" s="17" t="s">
        <v>523</v>
      </c>
    </row>
    <row r="36" ht="15.75" customHeight="1">
      <c r="A36" s="17">
        <v>34.0</v>
      </c>
      <c r="B36" s="17" t="s">
        <v>525</v>
      </c>
      <c r="C36" s="17" t="s">
        <v>180</v>
      </c>
      <c r="D36" s="17" t="s">
        <v>526</v>
      </c>
      <c r="E36" s="17" t="s">
        <v>432</v>
      </c>
      <c r="F36" s="18">
        <v>45488.0</v>
      </c>
      <c r="G36" s="19">
        <v>89200.0</v>
      </c>
      <c r="H36" s="23" t="s">
        <v>390</v>
      </c>
      <c r="I36" s="17" t="s">
        <v>362</v>
      </c>
      <c r="J36" s="17" t="s">
        <v>527</v>
      </c>
    </row>
    <row r="37" ht="15.75" customHeight="1">
      <c r="A37" s="17">
        <v>35.0</v>
      </c>
      <c r="B37" s="17" t="s">
        <v>529</v>
      </c>
      <c r="C37" s="17" t="s">
        <v>186</v>
      </c>
      <c r="D37" s="17" t="s">
        <v>530</v>
      </c>
      <c r="E37" s="17" t="s">
        <v>418</v>
      </c>
      <c r="F37" s="18">
        <v>44126.0</v>
      </c>
      <c r="G37" s="19">
        <v>90500.0</v>
      </c>
      <c r="H37" s="23" t="s">
        <v>390</v>
      </c>
      <c r="I37" s="17" t="s">
        <v>122</v>
      </c>
      <c r="J37" s="17" t="s">
        <v>531</v>
      </c>
    </row>
    <row r="38" ht="15.75" customHeight="1">
      <c r="A38" s="17">
        <v>36.0</v>
      </c>
      <c r="B38" s="17" t="s">
        <v>533</v>
      </c>
      <c r="C38" s="17" t="s">
        <v>348</v>
      </c>
      <c r="D38" s="17" t="s">
        <v>534</v>
      </c>
      <c r="E38" s="17" t="s">
        <v>378</v>
      </c>
      <c r="F38" s="18">
        <v>44197.0</v>
      </c>
      <c r="G38" s="19">
        <v>91800.0</v>
      </c>
      <c r="H38" s="23" t="s">
        <v>390</v>
      </c>
      <c r="I38" s="17" t="s">
        <v>134</v>
      </c>
      <c r="J38" s="17" t="s">
        <v>535</v>
      </c>
    </row>
    <row r="39" ht="15.75" customHeight="1">
      <c r="A39" s="17">
        <v>37.0</v>
      </c>
      <c r="B39" s="17" t="s">
        <v>537</v>
      </c>
      <c r="C39" s="17" t="s">
        <v>288</v>
      </c>
      <c r="D39" s="17" t="s">
        <v>538</v>
      </c>
      <c r="E39" s="17" t="s">
        <v>418</v>
      </c>
      <c r="F39" s="18">
        <v>44659.0</v>
      </c>
      <c r="G39" s="19">
        <v>93100.0</v>
      </c>
      <c r="H39" s="22" t="s">
        <v>384</v>
      </c>
      <c r="I39" s="17" t="s">
        <v>98</v>
      </c>
      <c r="J39" s="17" t="s">
        <v>539</v>
      </c>
    </row>
    <row r="40" ht="15.75" customHeight="1">
      <c r="A40" s="17">
        <v>38.0</v>
      </c>
      <c r="B40" s="17" t="s">
        <v>541</v>
      </c>
      <c r="C40" s="17" t="s">
        <v>246</v>
      </c>
      <c r="D40" s="17" t="s">
        <v>542</v>
      </c>
      <c r="E40" s="17" t="s">
        <v>389</v>
      </c>
      <c r="F40" s="18">
        <v>45122.0</v>
      </c>
      <c r="G40" s="19">
        <v>94400.0</v>
      </c>
      <c r="H40" s="20" t="s">
        <v>379</v>
      </c>
      <c r="I40" s="17" t="s">
        <v>332</v>
      </c>
      <c r="J40" s="17" t="s">
        <v>543</v>
      </c>
    </row>
    <row r="41" ht="15.75" customHeight="1">
      <c r="A41" s="17">
        <v>39.0</v>
      </c>
      <c r="B41" s="17" t="s">
        <v>545</v>
      </c>
      <c r="C41" s="17" t="s">
        <v>312</v>
      </c>
      <c r="D41" s="17" t="s">
        <v>546</v>
      </c>
      <c r="E41" s="17" t="s">
        <v>547</v>
      </c>
      <c r="F41" s="18">
        <v>45587.0</v>
      </c>
      <c r="G41" s="19">
        <v>95700.0</v>
      </c>
      <c r="H41" s="23" t="s">
        <v>390</v>
      </c>
      <c r="I41" s="17" t="s">
        <v>236</v>
      </c>
      <c r="J41" s="17" t="s">
        <v>548</v>
      </c>
    </row>
    <row r="42" ht="15.75" customHeight="1">
      <c r="A42" s="17">
        <v>40.0</v>
      </c>
      <c r="B42" s="17" t="s">
        <v>550</v>
      </c>
      <c r="C42" s="17" t="s">
        <v>114</v>
      </c>
      <c r="D42" s="17" t="s">
        <v>551</v>
      </c>
      <c r="E42" s="17" t="s">
        <v>432</v>
      </c>
      <c r="F42" s="18">
        <v>43831.0</v>
      </c>
      <c r="G42" s="19">
        <v>97000.0</v>
      </c>
      <c r="H42" s="23" t="s">
        <v>390</v>
      </c>
      <c r="I42" s="17" t="s">
        <v>242</v>
      </c>
      <c r="J42" s="17" t="s">
        <v>552</v>
      </c>
    </row>
    <row r="43" ht="15.75" customHeight="1">
      <c r="A43" s="17">
        <v>41.0</v>
      </c>
      <c r="B43" s="17" t="s">
        <v>554</v>
      </c>
      <c r="C43" s="17" t="s">
        <v>102</v>
      </c>
      <c r="D43" s="17" t="s">
        <v>555</v>
      </c>
      <c r="E43" s="17" t="s">
        <v>378</v>
      </c>
      <c r="F43" s="18">
        <v>44294.0</v>
      </c>
      <c r="G43" s="19">
        <v>98300.0</v>
      </c>
      <c r="H43" s="20" t="s">
        <v>379</v>
      </c>
      <c r="I43" s="17" t="s">
        <v>206</v>
      </c>
      <c r="J43" s="17" t="s">
        <v>556</v>
      </c>
    </row>
    <row r="44" ht="15.75" customHeight="1">
      <c r="A44" s="17">
        <v>42.0</v>
      </c>
      <c r="B44" s="17" t="s">
        <v>558</v>
      </c>
      <c r="C44" s="17" t="s">
        <v>324</v>
      </c>
      <c r="D44" s="17" t="s">
        <v>559</v>
      </c>
      <c r="E44" s="17" t="s">
        <v>389</v>
      </c>
      <c r="F44" s="18">
        <v>44757.0</v>
      </c>
      <c r="G44" s="19">
        <v>99600.0</v>
      </c>
      <c r="H44" s="22" t="s">
        <v>384</v>
      </c>
      <c r="I44" s="17" t="s">
        <v>338</v>
      </c>
      <c r="J44" s="17" t="s">
        <v>560</v>
      </c>
    </row>
    <row r="45" ht="15.75" customHeight="1">
      <c r="A45" s="17">
        <v>43.0</v>
      </c>
      <c r="B45" s="17" t="s">
        <v>562</v>
      </c>
      <c r="C45" s="17" t="s">
        <v>306</v>
      </c>
      <c r="D45" s="17" t="s">
        <v>563</v>
      </c>
      <c r="E45" s="17" t="s">
        <v>395</v>
      </c>
      <c r="F45" s="18">
        <v>45221.0</v>
      </c>
      <c r="G45" s="19">
        <v>100900.0</v>
      </c>
      <c r="H45" s="23" t="s">
        <v>390</v>
      </c>
      <c r="I45" s="17" t="s">
        <v>200</v>
      </c>
      <c r="J45" s="17" t="s">
        <v>564</v>
      </c>
    </row>
    <row r="46" ht="15.75" customHeight="1">
      <c r="A46" s="17">
        <v>44.0</v>
      </c>
      <c r="B46" s="17" t="s">
        <v>566</v>
      </c>
      <c r="C46" s="17" t="s">
        <v>216</v>
      </c>
      <c r="D46" s="17" t="s">
        <v>567</v>
      </c>
      <c r="E46" s="17" t="s">
        <v>395</v>
      </c>
      <c r="F46" s="18">
        <v>45292.0</v>
      </c>
      <c r="G46" s="19">
        <v>102200.0</v>
      </c>
      <c r="H46" s="23" t="s">
        <v>390</v>
      </c>
      <c r="I46" s="17" t="s">
        <v>284</v>
      </c>
      <c r="J46" s="17" t="s">
        <v>568</v>
      </c>
    </row>
    <row r="47" ht="15.75" customHeight="1">
      <c r="A47" s="17">
        <v>45.0</v>
      </c>
      <c r="B47" s="17" t="s">
        <v>570</v>
      </c>
      <c r="C47" s="17" t="s">
        <v>288</v>
      </c>
      <c r="D47" s="17" t="s">
        <v>571</v>
      </c>
      <c r="E47" s="17" t="s">
        <v>464</v>
      </c>
      <c r="F47" s="18">
        <v>43929.0</v>
      </c>
      <c r="G47" s="19">
        <v>103500.0</v>
      </c>
      <c r="H47" s="23" t="s">
        <v>390</v>
      </c>
      <c r="I47" s="17" t="s">
        <v>224</v>
      </c>
      <c r="J47" s="17" t="s">
        <v>572</v>
      </c>
    </row>
    <row r="48" ht="15.75" customHeight="1">
      <c r="A48" s="17">
        <v>46.0</v>
      </c>
      <c r="B48" s="17" t="s">
        <v>574</v>
      </c>
      <c r="C48" s="17" t="s">
        <v>204</v>
      </c>
      <c r="D48" s="17" t="s">
        <v>575</v>
      </c>
      <c r="E48" s="17" t="s">
        <v>395</v>
      </c>
      <c r="F48" s="18">
        <v>44392.0</v>
      </c>
      <c r="G48" s="19">
        <v>104800.0</v>
      </c>
      <c r="H48" s="23" t="s">
        <v>390</v>
      </c>
      <c r="I48" s="17" t="s">
        <v>158</v>
      </c>
      <c r="J48" s="17" t="s">
        <v>576</v>
      </c>
    </row>
    <row r="49" ht="15.75" customHeight="1">
      <c r="A49" s="17">
        <v>47.0</v>
      </c>
      <c r="B49" s="17" t="s">
        <v>578</v>
      </c>
      <c r="C49" s="17" t="s">
        <v>246</v>
      </c>
      <c r="D49" s="17" t="s">
        <v>484</v>
      </c>
      <c r="E49" s="17" t="s">
        <v>400</v>
      </c>
      <c r="F49" s="18">
        <v>44856.0</v>
      </c>
      <c r="G49" s="19">
        <v>106100.0</v>
      </c>
      <c r="H49" s="22" t="s">
        <v>384</v>
      </c>
      <c r="I49" s="17" t="s">
        <v>116</v>
      </c>
      <c r="J49" s="17" t="s">
        <v>579</v>
      </c>
    </row>
    <row r="50" ht="15.75" customHeight="1">
      <c r="A50" s="17">
        <v>48.0</v>
      </c>
      <c r="B50" s="17" t="s">
        <v>581</v>
      </c>
      <c r="C50" s="17" t="s">
        <v>150</v>
      </c>
      <c r="D50" s="17" t="s">
        <v>582</v>
      </c>
      <c r="E50" s="17" t="s">
        <v>378</v>
      </c>
      <c r="F50" s="18">
        <v>44927.0</v>
      </c>
      <c r="G50" s="19">
        <v>107400.0</v>
      </c>
      <c r="H50" s="20" t="s">
        <v>379</v>
      </c>
      <c r="I50" s="17" t="s">
        <v>326</v>
      </c>
      <c r="J50" s="17" t="s">
        <v>583</v>
      </c>
    </row>
    <row r="51" ht="15.75" customHeight="1">
      <c r="A51" s="17">
        <v>49.0</v>
      </c>
      <c r="B51" s="17" t="s">
        <v>585</v>
      </c>
      <c r="C51" s="17" t="s">
        <v>222</v>
      </c>
      <c r="D51" s="17" t="s">
        <v>586</v>
      </c>
      <c r="E51" s="17" t="s">
        <v>389</v>
      </c>
      <c r="F51" s="18">
        <v>45390.0</v>
      </c>
      <c r="G51" s="19">
        <v>108700.0</v>
      </c>
      <c r="H51" s="23" t="s">
        <v>390</v>
      </c>
      <c r="I51" s="17" t="s">
        <v>254</v>
      </c>
      <c r="J51" s="17" t="s">
        <v>587</v>
      </c>
    </row>
    <row r="52" ht="15.75" customHeight="1">
      <c r="A52" s="17">
        <v>50.0</v>
      </c>
      <c r="B52" s="17" t="s">
        <v>589</v>
      </c>
      <c r="C52" s="17" t="s">
        <v>228</v>
      </c>
      <c r="D52" s="17" t="s">
        <v>590</v>
      </c>
      <c r="E52" s="17" t="s">
        <v>389</v>
      </c>
      <c r="F52" s="18">
        <v>44027.0</v>
      </c>
      <c r="G52" s="19">
        <v>110000.0</v>
      </c>
      <c r="H52" s="23" t="s">
        <v>390</v>
      </c>
      <c r="I52" s="17" t="s">
        <v>284</v>
      </c>
      <c r="J52" s="17" t="s">
        <v>591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3:H52">
      <formula1>Lists!$D$2:$D$5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4.0"/>
    <col customWidth="1" min="3" max="3" width="13.0"/>
    <col customWidth="1" min="4" max="4" width="20.0"/>
    <col customWidth="1" min="5" max="5" width="22.0"/>
    <col customWidth="1" min="6" max="8" width="13.0"/>
    <col customWidth="1" min="9" max="9" width="16.0"/>
    <col customWidth="1" min="10" max="10" width="20.0"/>
    <col customWidth="1" min="11" max="26" width="8.63"/>
  </cols>
  <sheetData>
    <row r="1" ht="60.0" customHeight="1">
      <c r="A1" s="1"/>
      <c r="B1" s="1"/>
      <c r="C1" s="1"/>
      <c r="D1" s="24" t="s">
        <v>593</v>
      </c>
      <c r="E1" s="24"/>
      <c r="F1" s="25"/>
      <c r="G1" s="25"/>
      <c r="H1" s="25"/>
      <c r="I1" s="25"/>
      <c r="J1" s="1"/>
    </row>
    <row r="2">
      <c r="A2" s="26" t="s">
        <v>366</v>
      </c>
      <c r="B2" s="26" t="s">
        <v>598</v>
      </c>
      <c r="C2" s="26" t="s">
        <v>2</v>
      </c>
      <c r="D2" s="26" t="s">
        <v>3</v>
      </c>
      <c r="E2" s="26" t="s">
        <v>4</v>
      </c>
      <c r="F2" s="26" t="s">
        <v>599</v>
      </c>
      <c r="G2" s="26" t="s">
        <v>600</v>
      </c>
      <c r="H2" s="26" t="s">
        <v>601</v>
      </c>
      <c r="I2" s="26" t="s">
        <v>12</v>
      </c>
      <c r="J2" s="26" t="s">
        <v>594</v>
      </c>
    </row>
    <row r="3">
      <c r="A3" s="27">
        <v>1.0</v>
      </c>
      <c r="B3" s="28">
        <v>46143.0</v>
      </c>
      <c r="C3" s="27" t="s">
        <v>20</v>
      </c>
      <c r="D3" s="27" t="s">
        <v>21</v>
      </c>
      <c r="E3" s="27" t="s">
        <v>22</v>
      </c>
      <c r="F3" s="29" t="s">
        <v>379</v>
      </c>
      <c r="G3" s="27" t="s">
        <v>384</v>
      </c>
      <c r="H3" s="29" t="s">
        <v>379</v>
      </c>
      <c r="I3" s="27" t="s">
        <v>25</v>
      </c>
      <c r="J3" s="27" t="s">
        <v>602</v>
      </c>
    </row>
    <row r="4">
      <c r="A4" s="27">
        <v>2.0</v>
      </c>
      <c r="B4" s="28">
        <v>46143.0</v>
      </c>
      <c r="C4" s="27" t="s">
        <v>28</v>
      </c>
      <c r="D4" s="27" t="s">
        <v>29</v>
      </c>
      <c r="E4" s="27" t="s">
        <v>30</v>
      </c>
      <c r="F4" s="30" t="s">
        <v>390</v>
      </c>
      <c r="G4" s="30" t="s">
        <v>390</v>
      </c>
      <c r="H4" s="31" t="s">
        <v>603</v>
      </c>
      <c r="I4" s="27" t="s">
        <v>33</v>
      </c>
      <c r="J4" s="27" t="s">
        <v>604</v>
      </c>
    </row>
    <row r="5">
      <c r="A5" s="27">
        <v>3.0</v>
      </c>
      <c r="B5" s="28">
        <v>46143.0</v>
      </c>
      <c r="C5" s="27" t="s">
        <v>36</v>
      </c>
      <c r="D5" s="27" t="s">
        <v>37</v>
      </c>
      <c r="E5" s="27" t="s">
        <v>38</v>
      </c>
      <c r="F5" s="29" t="s">
        <v>379</v>
      </c>
      <c r="G5" s="27" t="s">
        <v>384</v>
      </c>
      <c r="H5" s="29" t="s">
        <v>379</v>
      </c>
      <c r="I5" s="27" t="s">
        <v>41</v>
      </c>
      <c r="J5" s="27" t="s">
        <v>602</v>
      </c>
    </row>
    <row r="6">
      <c r="A6" s="27">
        <v>4.0</v>
      </c>
      <c r="B6" s="28">
        <v>46143.0</v>
      </c>
      <c r="C6" s="27" t="s">
        <v>44</v>
      </c>
      <c r="D6" s="27" t="s">
        <v>45</v>
      </c>
      <c r="E6" s="27" t="s">
        <v>46</v>
      </c>
      <c r="F6" s="30" t="s">
        <v>390</v>
      </c>
      <c r="G6" s="30" t="s">
        <v>390</v>
      </c>
      <c r="H6" s="27" t="s">
        <v>605</v>
      </c>
      <c r="I6" s="27" t="s">
        <v>49</v>
      </c>
      <c r="J6" s="27" t="s">
        <v>606</v>
      </c>
    </row>
    <row r="7">
      <c r="A7" s="27">
        <v>5.0</v>
      </c>
      <c r="B7" s="28">
        <v>46143.0</v>
      </c>
      <c r="C7" s="27" t="s">
        <v>52</v>
      </c>
      <c r="D7" s="27" t="s">
        <v>53</v>
      </c>
      <c r="E7" s="27" t="s">
        <v>54</v>
      </c>
      <c r="F7" s="29" t="s">
        <v>379</v>
      </c>
      <c r="G7" s="27" t="s">
        <v>384</v>
      </c>
      <c r="H7" s="29" t="s">
        <v>379</v>
      </c>
      <c r="I7" s="27" t="s">
        <v>56</v>
      </c>
      <c r="J7" s="27" t="s">
        <v>602</v>
      </c>
    </row>
    <row r="8">
      <c r="A8" s="27">
        <v>6.0</v>
      </c>
      <c r="B8" s="28">
        <v>46143.0</v>
      </c>
      <c r="C8" s="27" t="s">
        <v>59</v>
      </c>
      <c r="D8" s="27" t="s">
        <v>60</v>
      </c>
      <c r="E8" s="27" t="s">
        <v>61</v>
      </c>
      <c r="F8" s="30" t="s">
        <v>390</v>
      </c>
      <c r="G8" s="30" t="s">
        <v>390</v>
      </c>
      <c r="H8" s="27" t="s">
        <v>605</v>
      </c>
      <c r="I8" s="27" t="s">
        <v>63</v>
      </c>
      <c r="J8" s="27" t="s">
        <v>606</v>
      </c>
    </row>
    <row r="9">
      <c r="A9" s="27">
        <v>7.0</v>
      </c>
      <c r="B9" s="28">
        <v>46143.0</v>
      </c>
      <c r="C9" s="27" t="s">
        <v>66</v>
      </c>
      <c r="D9" s="27" t="s">
        <v>67</v>
      </c>
      <c r="E9" s="27" t="s">
        <v>68</v>
      </c>
      <c r="F9" s="29" t="s">
        <v>379</v>
      </c>
      <c r="G9" s="27" t="s">
        <v>384</v>
      </c>
      <c r="H9" s="29" t="s">
        <v>379</v>
      </c>
      <c r="I9" s="27" t="s">
        <v>70</v>
      </c>
      <c r="J9" s="27" t="s">
        <v>602</v>
      </c>
    </row>
    <row r="10">
      <c r="A10" s="27">
        <v>8.0</v>
      </c>
      <c r="B10" s="28">
        <v>46143.0</v>
      </c>
      <c r="C10" s="27" t="s">
        <v>73</v>
      </c>
      <c r="D10" s="27" t="s">
        <v>74</v>
      </c>
      <c r="E10" s="27" t="s">
        <v>75</v>
      </c>
      <c r="F10" s="30" t="s">
        <v>390</v>
      </c>
      <c r="G10" s="30" t="s">
        <v>390</v>
      </c>
      <c r="H10" s="27" t="s">
        <v>605</v>
      </c>
      <c r="I10" s="27" t="s">
        <v>77</v>
      </c>
      <c r="J10" s="27" t="s">
        <v>606</v>
      </c>
    </row>
    <row r="11">
      <c r="A11" s="27">
        <v>9.0</v>
      </c>
      <c r="B11" s="28">
        <v>46143.0</v>
      </c>
      <c r="C11" s="27" t="s">
        <v>80</v>
      </c>
      <c r="D11" s="27" t="s">
        <v>81</v>
      </c>
      <c r="E11" s="27" t="s">
        <v>82</v>
      </c>
      <c r="F11" s="30" t="s">
        <v>390</v>
      </c>
      <c r="G11" s="30" t="s">
        <v>390</v>
      </c>
      <c r="H11" s="27" t="s">
        <v>605</v>
      </c>
      <c r="I11" s="27" t="s">
        <v>84</v>
      </c>
      <c r="J11" s="27" t="s">
        <v>606</v>
      </c>
    </row>
    <row r="12">
      <c r="A12" s="27">
        <v>10.0</v>
      </c>
      <c r="B12" s="28">
        <v>46143.0</v>
      </c>
      <c r="C12" s="27" t="s">
        <v>87</v>
      </c>
      <c r="D12" s="27" t="s">
        <v>88</v>
      </c>
      <c r="E12" s="27" t="s">
        <v>89</v>
      </c>
      <c r="F12" s="30" t="s">
        <v>390</v>
      </c>
      <c r="G12" s="30" t="s">
        <v>390</v>
      </c>
      <c r="H12" s="31" t="s">
        <v>603</v>
      </c>
      <c r="I12" s="27" t="s">
        <v>91</v>
      </c>
      <c r="J12" s="27" t="s">
        <v>604</v>
      </c>
    </row>
    <row r="13">
      <c r="A13" s="27">
        <v>11.0</v>
      </c>
      <c r="B13" s="28">
        <v>46143.0</v>
      </c>
      <c r="C13" s="27" t="s">
        <v>94</v>
      </c>
      <c r="D13" s="27" t="s">
        <v>95</v>
      </c>
      <c r="E13" s="27" t="s">
        <v>96</v>
      </c>
      <c r="F13" s="30" t="s">
        <v>390</v>
      </c>
      <c r="G13" s="30" t="s">
        <v>390</v>
      </c>
      <c r="H13" s="27" t="s">
        <v>605</v>
      </c>
      <c r="I13" s="27" t="s">
        <v>97</v>
      </c>
      <c r="J13" s="27" t="s">
        <v>606</v>
      </c>
    </row>
    <row r="14">
      <c r="A14" s="27">
        <v>12.0</v>
      </c>
      <c r="B14" s="28">
        <v>46143.0</v>
      </c>
      <c r="C14" s="27" t="s">
        <v>100</v>
      </c>
      <c r="D14" s="27" t="s">
        <v>101</v>
      </c>
      <c r="E14" s="27" t="s">
        <v>102</v>
      </c>
      <c r="F14" s="29" t="s">
        <v>379</v>
      </c>
      <c r="G14" s="29" t="s">
        <v>379</v>
      </c>
      <c r="H14" s="29" t="s">
        <v>379</v>
      </c>
      <c r="I14" s="27" t="s">
        <v>103</v>
      </c>
      <c r="J14" s="27" t="s">
        <v>602</v>
      </c>
    </row>
    <row r="15">
      <c r="A15" s="27">
        <v>13.0</v>
      </c>
      <c r="B15" s="28">
        <v>46143.0</v>
      </c>
      <c r="C15" s="27" t="s">
        <v>106</v>
      </c>
      <c r="D15" s="27" t="s">
        <v>107</v>
      </c>
      <c r="E15" s="27" t="s">
        <v>108</v>
      </c>
      <c r="F15" s="30" t="s">
        <v>390</v>
      </c>
      <c r="G15" s="30" t="s">
        <v>390</v>
      </c>
      <c r="H15" s="27" t="s">
        <v>605</v>
      </c>
      <c r="I15" s="27" t="s">
        <v>109</v>
      </c>
      <c r="J15" s="27" t="s">
        <v>606</v>
      </c>
    </row>
    <row r="16">
      <c r="A16" s="27">
        <v>14.0</v>
      </c>
      <c r="B16" s="28">
        <v>46143.0</v>
      </c>
      <c r="C16" s="27" t="s">
        <v>112</v>
      </c>
      <c r="D16" s="27" t="s">
        <v>113</v>
      </c>
      <c r="E16" s="27" t="s">
        <v>114</v>
      </c>
      <c r="F16" s="30" t="s">
        <v>390</v>
      </c>
      <c r="G16" s="30" t="s">
        <v>390</v>
      </c>
      <c r="H16" s="27" t="s">
        <v>605</v>
      </c>
      <c r="I16" s="27" t="s">
        <v>115</v>
      </c>
      <c r="J16" s="27" t="s">
        <v>606</v>
      </c>
    </row>
    <row r="17">
      <c r="A17" s="27">
        <v>15.0</v>
      </c>
      <c r="B17" s="28">
        <v>46143.0</v>
      </c>
      <c r="C17" s="27" t="s">
        <v>118</v>
      </c>
      <c r="D17" s="27" t="s">
        <v>119</v>
      </c>
      <c r="E17" s="27" t="s">
        <v>120</v>
      </c>
      <c r="F17" s="30" t="s">
        <v>390</v>
      </c>
      <c r="G17" s="30" t="s">
        <v>390</v>
      </c>
      <c r="H17" s="31" t="s">
        <v>603</v>
      </c>
      <c r="I17" s="27" t="s">
        <v>121</v>
      </c>
      <c r="J17" s="27" t="s">
        <v>604</v>
      </c>
    </row>
    <row r="18">
      <c r="A18" s="27">
        <v>16.0</v>
      </c>
      <c r="B18" s="28">
        <v>46143.0</v>
      </c>
      <c r="C18" s="27" t="s">
        <v>124</v>
      </c>
      <c r="D18" s="27" t="s">
        <v>125</v>
      </c>
      <c r="E18" s="27" t="s">
        <v>126</v>
      </c>
      <c r="F18" s="30" t="s">
        <v>390</v>
      </c>
      <c r="G18" s="30" t="s">
        <v>390</v>
      </c>
      <c r="H18" s="27" t="s">
        <v>605</v>
      </c>
      <c r="I18" s="27" t="s">
        <v>127</v>
      </c>
      <c r="J18" s="27" t="s">
        <v>606</v>
      </c>
    </row>
    <row r="19">
      <c r="A19" s="27">
        <v>17.0</v>
      </c>
      <c r="B19" s="28">
        <v>46143.0</v>
      </c>
      <c r="C19" s="27" t="s">
        <v>130</v>
      </c>
      <c r="D19" s="27" t="s">
        <v>131</v>
      </c>
      <c r="E19" s="27" t="s">
        <v>132</v>
      </c>
      <c r="F19" s="29" t="s">
        <v>379</v>
      </c>
      <c r="G19" s="27" t="s">
        <v>384</v>
      </c>
      <c r="H19" s="29" t="s">
        <v>379</v>
      </c>
      <c r="I19" s="27" t="s">
        <v>133</v>
      </c>
      <c r="J19" s="27" t="s">
        <v>602</v>
      </c>
    </row>
    <row r="20">
      <c r="A20" s="27">
        <v>18.0</v>
      </c>
      <c r="B20" s="28">
        <v>46143.0</v>
      </c>
      <c r="C20" s="27" t="s">
        <v>136</v>
      </c>
      <c r="D20" s="27" t="s">
        <v>137</v>
      </c>
      <c r="E20" s="27" t="s">
        <v>138</v>
      </c>
      <c r="F20" s="30" t="s">
        <v>390</v>
      </c>
      <c r="G20" s="30" t="s">
        <v>390</v>
      </c>
      <c r="H20" s="27" t="s">
        <v>605</v>
      </c>
      <c r="I20" s="27" t="s">
        <v>139</v>
      </c>
      <c r="J20" s="27" t="s">
        <v>606</v>
      </c>
    </row>
    <row r="21" ht="15.75" customHeight="1">
      <c r="A21" s="27">
        <v>19.0</v>
      </c>
      <c r="B21" s="28">
        <v>46143.0</v>
      </c>
      <c r="C21" s="27" t="s">
        <v>142</v>
      </c>
      <c r="D21" s="27" t="s">
        <v>143</v>
      </c>
      <c r="E21" s="27" t="s">
        <v>144</v>
      </c>
      <c r="F21" s="30" t="s">
        <v>390</v>
      </c>
      <c r="G21" s="30" t="s">
        <v>390</v>
      </c>
      <c r="H21" s="27" t="s">
        <v>605</v>
      </c>
      <c r="I21" s="27" t="s">
        <v>145</v>
      </c>
      <c r="J21" s="27" t="s">
        <v>606</v>
      </c>
    </row>
    <row r="22" ht="15.75" customHeight="1">
      <c r="A22" s="27">
        <v>20.0</v>
      </c>
      <c r="B22" s="28">
        <v>46143.0</v>
      </c>
      <c r="C22" s="27" t="s">
        <v>148</v>
      </c>
      <c r="D22" s="27" t="s">
        <v>149</v>
      </c>
      <c r="E22" s="27" t="s">
        <v>150</v>
      </c>
      <c r="F22" s="30" t="s">
        <v>390</v>
      </c>
      <c r="G22" s="30" t="s">
        <v>390</v>
      </c>
      <c r="H22" s="31" t="s">
        <v>603</v>
      </c>
      <c r="I22" s="27" t="s">
        <v>151</v>
      </c>
      <c r="J22" s="27" t="s">
        <v>604</v>
      </c>
    </row>
    <row r="23" ht="15.75" customHeight="1">
      <c r="A23" s="27">
        <v>21.0</v>
      </c>
      <c r="B23" s="28">
        <v>46143.0</v>
      </c>
      <c r="C23" s="27" t="s">
        <v>154</v>
      </c>
      <c r="D23" s="27" t="s">
        <v>155</v>
      </c>
      <c r="E23" s="27" t="s">
        <v>156</v>
      </c>
      <c r="F23" s="30" t="s">
        <v>390</v>
      </c>
      <c r="G23" s="30" t="s">
        <v>390</v>
      </c>
      <c r="H23" s="27" t="s">
        <v>605</v>
      </c>
      <c r="I23" s="27" t="s">
        <v>157</v>
      </c>
      <c r="J23" s="27" t="s">
        <v>606</v>
      </c>
    </row>
    <row r="24" ht="15.75" customHeight="1">
      <c r="A24" s="27">
        <v>22.0</v>
      </c>
      <c r="B24" s="28">
        <v>46143.0</v>
      </c>
      <c r="C24" s="27" t="s">
        <v>160</v>
      </c>
      <c r="D24" s="27" t="s">
        <v>161</v>
      </c>
      <c r="E24" s="27" t="s">
        <v>162</v>
      </c>
      <c r="F24" s="30" t="s">
        <v>390</v>
      </c>
      <c r="G24" s="30" t="s">
        <v>390</v>
      </c>
      <c r="H24" s="31" t="s">
        <v>603</v>
      </c>
      <c r="I24" s="27" t="s">
        <v>163</v>
      </c>
      <c r="J24" s="27" t="s">
        <v>604</v>
      </c>
    </row>
    <row r="25" ht="15.75" customHeight="1">
      <c r="A25" s="27">
        <v>23.0</v>
      </c>
      <c r="B25" s="28">
        <v>46143.0</v>
      </c>
      <c r="C25" s="27" t="s">
        <v>166</v>
      </c>
      <c r="D25" s="27" t="s">
        <v>167</v>
      </c>
      <c r="E25" s="27" t="s">
        <v>168</v>
      </c>
      <c r="F25" s="29" t="s">
        <v>379</v>
      </c>
      <c r="G25" s="27" t="s">
        <v>384</v>
      </c>
      <c r="H25" s="29" t="s">
        <v>379</v>
      </c>
      <c r="I25" s="27" t="s">
        <v>169</v>
      </c>
      <c r="J25" s="27" t="s">
        <v>602</v>
      </c>
    </row>
    <row r="26" ht="15.75" customHeight="1">
      <c r="A26" s="27">
        <v>24.0</v>
      </c>
      <c r="B26" s="28">
        <v>46143.0</v>
      </c>
      <c r="C26" s="27" t="s">
        <v>172</v>
      </c>
      <c r="D26" s="27" t="s">
        <v>173</v>
      </c>
      <c r="E26" s="27" t="s">
        <v>174</v>
      </c>
      <c r="F26" s="29" t="s">
        <v>379</v>
      </c>
      <c r="G26" s="29" t="s">
        <v>379</v>
      </c>
      <c r="H26" s="29" t="s">
        <v>379</v>
      </c>
      <c r="I26" s="27" t="s">
        <v>175</v>
      </c>
      <c r="J26" s="27" t="s">
        <v>602</v>
      </c>
    </row>
    <row r="27" ht="15.75" customHeight="1">
      <c r="A27" s="27">
        <v>25.0</v>
      </c>
      <c r="B27" s="28">
        <v>46143.0</v>
      </c>
      <c r="C27" s="27" t="s">
        <v>178</v>
      </c>
      <c r="D27" s="27" t="s">
        <v>179</v>
      </c>
      <c r="E27" s="27" t="s">
        <v>180</v>
      </c>
      <c r="F27" s="30" t="s">
        <v>390</v>
      </c>
      <c r="G27" s="30" t="s">
        <v>390</v>
      </c>
      <c r="H27" s="31" t="s">
        <v>603</v>
      </c>
      <c r="I27" s="27" t="s">
        <v>181</v>
      </c>
      <c r="J27" s="27" t="s">
        <v>604</v>
      </c>
    </row>
    <row r="28" ht="15.75" customHeight="1">
      <c r="A28" s="27">
        <v>26.0</v>
      </c>
      <c r="B28" s="28">
        <v>46143.0</v>
      </c>
      <c r="C28" s="27" t="s">
        <v>184</v>
      </c>
      <c r="D28" s="27" t="s">
        <v>185</v>
      </c>
      <c r="E28" s="27" t="s">
        <v>186</v>
      </c>
      <c r="F28" s="30" t="s">
        <v>390</v>
      </c>
      <c r="G28" s="30" t="s">
        <v>390</v>
      </c>
      <c r="H28" s="27" t="s">
        <v>605</v>
      </c>
      <c r="I28" s="27" t="s">
        <v>187</v>
      </c>
      <c r="J28" s="27" t="s">
        <v>606</v>
      </c>
    </row>
    <row r="29" ht="15.75" customHeight="1">
      <c r="A29" s="27">
        <v>27.0</v>
      </c>
      <c r="B29" s="28">
        <v>46143.0</v>
      </c>
      <c r="C29" s="27" t="s">
        <v>190</v>
      </c>
      <c r="D29" s="27" t="s">
        <v>191</v>
      </c>
      <c r="E29" s="27" t="s">
        <v>192</v>
      </c>
      <c r="F29" s="30" t="s">
        <v>390</v>
      </c>
      <c r="G29" s="30" t="s">
        <v>390</v>
      </c>
      <c r="H29" s="31" t="s">
        <v>603</v>
      </c>
      <c r="I29" s="27" t="s">
        <v>193</v>
      </c>
      <c r="J29" s="27" t="s">
        <v>604</v>
      </c>
    </row>
    <row r="30" ht="15.75" customHeight="1">
      <c r="A30" s="27">
        <v>28.0</v>
      </c>
      <c r="B30" s="28">
        <v>46143.0</v>
      </c>
      <c r="C30" s="27" t="s">
        <v>196</v>
      </c>
      <c r="D30" s="27" t="s">
        <v>197</v>
      </c>
      <c r="E30" s="27" t="s">
        <v>198</v>
      </c>
      <c r="F30" s="29" t="s">
        <v>379</v>
      </c>
      <c r="G30" s="29" t="s">
        <v>379</v>
      </c>
      <c r="H30" s="29" t="s">
        <v>379</v>
      </c>
      <c r="I30" s="27" t="s">
        <v>199</v>
      </c>
      <c r="J30" s="27" t="s">
        <v>602</v>
      </c>
    </row>
    <row r="31" ht="15.75" customHeight="1">
      <c r="A31" s="27">
        <v>29.0</v>
      </c>
      <c r="B31" s="28">
        <v>46143.0</v>
      </c>
      <c r="C31" s="27" t="s">
        <v>202</v>
      </c>
      <c r="D31" s="27" t="s">
        <v>203</v>
      </c>
      <c r="E31" s="27" t="s">
        <v>204</v>
      </c>
      <c r="F31" s="29" t="s">
        <v>379</v>
      </c>
      <c r="G31" s="27" t="s">
        <v>384</v>
      </c>
      <c r="H31" s="29" t="s">
        <v>379</v>
      </c>
      <c r="I31" s="27" t="s">
        <v>205</v>
      </c>
      <c r="J31" s="27" t="s">
        <v>602</v>
      </c>
    </row>
    <row r="32" ht="15.75" customHeight="1">
      <c r="A32" s="27">
        <v>30.0</v>
      </c>
      <c r="B32" s="28">
        <v>46143.0</v>
      </c>
      <c r="C32" s="27" t="s">
        <v>208</v>
      </c>
      <c r="D32" s="27" t="s">
        <v>209</v>
      </c>
      <c r="E32" s="27" t="s">
        <v>210</v>
      </c>
      <c r="F32" s="30" t="s">
        <v>390</v>
      </c>
      <c r="G32" s="30" t="s">
        <v>390</v>
      </c>
      <c r="H32" s="31" t="s">
        <v>603</v>
      </c>
      <c r="I32" s="27" t="s">
        <v>211</v>
      </c>
      <c r="J32" s="27" t="s">
        <v>604</v>
      </c>
    </row>
    <row r="33" ht="15.75" customHeight="1">
      <c r="A33" s="27">
        <v>31.0</v>
      </c>
      <c r="B33" s="28">
        <v>46143.0</v>
      </c>
      <c r="C33" s="27" t="s">
        <v>214</v>
      </c>
      <c r="D33" s="27" t="s">
        <v>215</v>
      </c>
      <c r="E33" s="27" t="s">
        <v>216</v>
      </c>
      <c r="F33" s="30" t="s">
        <v>390</v>
      </c>
      <c r="G33" s="30" t="s">
        <v>390</v>
      </c>
      <c r="H33" s="27" t="s">
        <v>605</v>
      </c>
      <c r="I33" s="27" t="s">
        <v>217</v>
      </c>
      <c r="J33" s="27" t="s">
        <v>606</v>
      </c>
    </row>
    <row r="34" ht="15.75" customHeight="1">
      <c r="A34" s="27">
        <v>32.0</v>
      </c>
      <c r="B34" s="28">
        <v>46143.0</v>
      </c>
      <c r="C34" s="27" t="s">
        <v>220</v>
      </c>
      <c r="D34" s="27" t="s">
        <v>221</v>
      </c>
      <c r="E34" s="27" t="s">
        <v>222</v>
      </c>
      <c r="F34" s="30" t="s">
        <v>390</v>
      </c>
      <c r="G34" s="30" t="s">
        <v>390</v>
      </c>
      <c r="H34" s="31" t="s">
        <v>603</v>
      </c>
      <c r="I34" s="27" t="s">
        <v>223</v>
      </c>
      <c r="J34" s="27" t="s">
        <v>604</v>
      </c>
    </row>
    <row r="35" ht="15.75" customHeight="1">
      <c r="A35" s="27">
        <v>33.0</v>
      </c>
      <c r="B35" s="28">
        <v>46143.0</v>
      </c>
      <c r="C35" s="27" t="s">
        <v>226</v>
      </c>
      <c r="D35" s="27" t="s">
        <v>227</v>
      </c>
      <c r="E35" s="27" t="s">
        <v>228</v>
      </c>
      <c r="F35" s="30" t="s">
        <v>390</v>
      </c>
      <c r="G35" s="30" t="s">
        <v>390</v>
      </c>
      <c r="H35" s="27" t="s">
        <v>605</v>
      </c>
      <c r="I35" s="27" t="s">
        <v>229</v>
      </c>
      <c r="J35" s="27" t="s">
        <v>606</v>
      </c>
    </row>
    <row r="36" ht="15.75" customHeight="1">
      <c r="A36" s="27">
        <v>34.0</v>
      </c>
      <c r="B36" s="28">
        <v>46143.0</v>
      </c>
      <c r="C36" s="27" t="s">
        <v>232</v>
      </c>
      <c r="D36" s="27" t="s">
        <v>233</v>
      </c>
      <c r="E36" s="27" t="s">
        <v>234</v>
      </c>
      <c r="F36" s="29" t="s">
        <v>379</v>
      </c>
      <c r="G36" s="29" t="s">
        <v>379</v>
      </c>
      <c r="H36" s="29" t="s">
        <v>379</v>
      </c>
      <c r="I36" s="27" t="s">
        <v>235</v>
      </c>
      <c r="J36" s="27" t="s">
        <v>602</v>
      </c>
    </row>
    <row r="37" ht="15.75" customHeight="1">
      <c r="A37" s="27">
        <v>35.0</v>
      </c>
      <c r="B37" s="28">
        <v>46143.0</v>
      </c>
      <c r="C37" s="27" t="s">
        <v>238</v>
      </c>
      <c r="D37" s="27" t="s">
        <v>239</v>
      </c>
      <c r="E37" s="27" t="s">
        <v>240</v>
      </c>
      <c r="F37" s="30" t="s">
        <v>390</v>
      </c>
      <c r="G37" s="30" t="s">
        <v>390</v>
      </c>
      <c r="H37" s="31" t="s">
        <v>603</v>
      </c>
      <c r="I37" s="27" t="s">
        <v>241</v>
      </c>
      <c r="J37" s="27" t="s">
        <v>604</v>
      </c>
    </row>
    <row r="38" ht="15.75" customHeight="1">
      <c r="A38" s="27">
        <v>36.0</v>
      </c>
      <c r="B38" s="28">
        <v>46143.0</v>
      </c>
      <c r="C38" s="27" t="s">
        <v>244</v>
      </c>
      <c r="D38" s="27" t="s">
        <v>245</v>
      </c>
      <c r="E38" s="27" t="s">
        <v>246</v>
      </c>
      <c r="F38" s="29" t="s">
        <v>379</v>
      </c>
      <c r="G38" s="29" t="s">
        <v>379</v>
      </c>
      <c r="H38" s="29" t="s">
        <v>379</v>
      </c>
      <c r="I38" s="27" t="s">
        <v>247</v>
      </c>
      <c r="J38" s="27" t="s">
        <v>602</v>
      </c>
    </row>
    <row r="39" ht="15.75" customHeight="1">
      <c r="A39" s="27">
        <v>37.0</v>
      </c>
      <c r="B39" s="28">
        <v>46143.0</v>
      </c>
      <c r="C39" s="27" t="s">
        <v>250</v>
      </c>
      <c r="D39" s="27" t="s">
        <v>251</v>
      </c>
      <c r="E39" s="27" t="s">
        <v>252</v>
      </c>
      <c r="F39" s="30" t="s">
        <v>390</v>
      </c>
      <c r="G39" s="30" t="s">
        <v>390</v>
      </c>
      <c r="H39" s="31" t="s">
        <v>603</v>
      </c>
      <c r="I39" s="27" t="s">
        <v>253</v>
      </c>
      <c r="J39" s="27" t="s">
        <v>604</v>
      </c>
    </row>
    <row r="40" ht="15.75" customHeight="1">
      <c r="A40" s="27">
        <v>38.0</v>
      </c>
      <c r="B40" s="28">
        <v>46143.0</v>
      </c>
      <c r="C40" s="27" t="s">
        <v>256</v>
      </c>
      <c r="D40" s="27" t="s">
        <v>257</v>
      </c>
      <c r="E40" s="27" t="s">
        <v>258</v>
      </c>
      <c r="F40" s="30" t="s">
        <v>390</v>
      </c>
      <c r="G40" s="30" t="s">
        <v>390</v>
      </c>
      <c r="H40" s="27" t="s">
        <v>605</v>
      </c>
      <c r="I40" s="27" t="s">
        <v>259</v>
      </c>
      <c r="J40" s="27" t="s">
        <v>606</v>
      </c>
    </row>
    <row r="41" ht="15.75" customHeight="1">
      <c r="A41" s="27">
        <v>39.0</v>
      </c>
      <c r="B41" s="28">
        <v>46143.0</v>
      </c>
      <c r="C41" s="27" t="s">
        <v>262</v>
      </c>
      <c r="D41" s="27" t="s">
        <v>263</v>
      </c>
      <c r="E41" s="27" t="s">
        <v>264</v>
      </c>
      <c r="F41" s="29" t="s">
        <v>379</v>
      </c>
      <c r="G41" s="27" t="s">
        <v>384</v>
      </c>
      <c r="H41" s="29" t="s">
        <v>379</v>
      </c>
      <c r="I41" s="27" t="s">
        <v>265</v>
      </c>
      <c r="J41" s="27" t="s">
        <v>602</v>
      </c>
    </row>
    <row r="42" ht="15.75" customHeight="1">
      <c r="A42" s="27">
        <v>40.0</v>
      </c>
      <c r="B42" s="28">
        <v>46143.0</v>
      </c>
      <c r="C42" s="27" t="s">
        <v>268</v>
      </c>
      <c r="D42" s="27" t="s">
        <v>269</v>
      </c>
      <c r="E42" s="27" t="s">
        <v>270</v>
      </c>
      <c r="F42" s="30" t="s">
        <v>390</v>
      </c>
      <c r="G42" s="30" t="s">
        <v>390</v>
      </c>
      <c r="H42" s="31" t="s">
        <v>603</v>
      </c>
      <c r="I42" s="27" t="s">
        <v>271</v>
      </c>
      <c r="J42" s="27" t="s">
        <v>604</v>
      </c>
    </row>
    <row r="43" ht="15.75" customHeight="1">
      <c r="A43" s="27">
        <v>41.0</v>
      </c>
      <c r="B43" s="28">
        <v>46143.0</v>
      </c>
      <c r="C43" s="27" t="s">
        <v>274</v>
      </c>
      <c r="D43" s="27" t="s">
        <v>275</v>
      </c>
      <c r="E43" s="27" t="s">
        <v>276</v>
      </c>
      <c r="F43" s="30" t="s">
        <v>390</v>
      </c>
      <c r="G43" s="30" t="s">
        <v>390</v>
      </c>
      <c r="H43" s="27" t="s">
        <v>605</v>
      </c>
      <c r="I43" s="27" t="s">
        <v>277</v>
      </c>
      <c r="J43" s="27" t="s">
        <v>606</v>
      </c>
    </row>
    <row r="44" ht="15.75" customHeight="1">
      <c r="A44" s="27">
        <v>42.0</v>
      </c>
      <c r="B44" s="28">
        <v>46143.0</v>
      </c>
      <c r="C44" s="27" t="s">
        <v>280</v>
      </c>
      <c r="D44" s="27" t="s">
        <v>281</v>
      </c>
      <c r="E44" s="27" t="s">
        <v>282</v>
      </c>
      <c r="F44" s="30" t="s">
        <v>390</v>
      </c>
      <c r="G44" s="30" t="s">
        <v>390</v>
      </c>
      <c r="H44" s="31" t="s">
        <v>603</v>
      </c>
      <c r="I44" s="27" t="s">
        <v>283</v>
      </c>
      <c r="J44" s="27" t="s">
        <v>604</v>
      </c>
    </row>
    <row r="45" ht="15.75" customHeight="1">
      <c r="A45" s="27">
        <v>43.0</v>
      </c>
      <c r="B45" s="28">
        <v>46143.0</v>
      </c>
      <c r="C45" s="27" t="s">
        <v>286</v>
      </c>
      <c r="D45" s="27" t="s">
        <v>287</v>
      </c>
      <c r="E45" s="27" t="s">
        <v>288</v>
      </c>
      <c r="F45" s="29" t="s">
        <v>379</v>
      </c>
      <c r="G45" s="27" t="s">
        <v>384</v>
      </c>
      <c r="H45" s="29" t="s">
        <v>379</v>
      </c>
      <c r="I45" s="27" t="s">
        <v>289</v>
      </c>
      <c r="J45" s="27" t="s">
        <v>602</v>
      </c>
    </row>
    <row r="46" ht="15.75" customHeight="1">
      <c r="A46" s="27">
        <v>44.0</v>
      </c>
      <c r="B46" s="28">
        <v>46143.0</v>
      </c>
      <c r="C46" s="27" t="s">
        <v>292</v>
      </c>
      <c r="D46" s="27" t="s">
        <v>293</v>
      </c>
      <c r="E46" s="27" t="s">
        <v>294</v>
      </c>
      <c r="F46" s="30" t="s">
        <v>390</v>
      </c>
      <c r="G46" s="30" t="s">
        <v>390</v>
      </c>
      <c r="H46" s="27" t="s">
        <v>605</v>
      </c>
      <c r="I46" s="27" t="s">
        <v>295</v>
      </c>
      <c r="J46" s="27" t="s">
        <v>606</v>
      </c>
    </row>
    <row r="47" ht="15.75" customHeight="1">
      <c r="A47" s="27">
        <v>45.0</v>
      </c>
      <c r="B47" s="28">
        <v>46143.0</v>
      </c>
      <c r="C47" s="27" t="s">
        <v>298</v>
      </c>
      <c r="D47" s="27" t="s">
        <v>299</v>
      </c>
      <c r="E47" s="27" t="s">
        <v>300</v>
      </c>
      <c r="F47" s="29" t="s">
        <v>379</v>
      </c>
      <c r="G47" s="27" t="s">
        <v>384</v>
      </c>
      <c r="H47" s="29" t="s">
        <v>379</v>
      </c>
      <c r="I47" s="27" t="s">
        <v>301</v>
      </c>
      <c r="J47" s="27" t="s">
        <v>602</v>
      </c>
    </row>
    <row r="48" ht="15.75" customHeight="1">
      <c r="A48" s="27">
        <v>46.0</v>
      </c>
      <c r="B48" s="28">
        <v>46143.0</v>
      </c>
      <c r="C48" s="27" t="s">
        <v>304</v>
      </c>
      <c r="D48" s="27" t="s">
        <v>305</v>
      </c>
      <c r="E48" s="27" t="s">
        <v>306</v>
      </c>
      <c r="F48" s="30" t="s">
        <v>390</v>
      </c>
      <c r="G48" s="30" t="s">
        <v>390</v>
      </c>
      <c r="H48" s="27" t="s">
        <v>605</v>
      </c>
      <c r="I48" s="27" t="s">
        <v>307</v>
      </c>
      <c r="J48" s="27" t="s">
        <v>606</v>
      </c>
    </row>
    <row r="49" ht="15.75" customHeight="1">
      <c r="A49" s="27">
        <v>47.0</v>
      </c>
      <c r="B49" s="28">
        <v>46143.0</v>
      </c>
      <c r="C49" s="27" t="s">
        <v>310</v>
      </c>
      <c r="D49" s="27" t="s">
        <v>311</v>
      </c>
      <c r="E49" s="27" t="s">
        <v>312</v>
      </c>
      <c r="F49" s="30" t="s">
        <v>390</v>
      </c>
      <c r="G49" s="30" t="s">
        <v>390</v>
      </c>
      <c r="H49" s="31" t="s">
        <v>603</v>
      </c>
      <c r="I49" s="27" t="s">
        <v>313</v>
      </c>
      <c r="J49" s="27" t="s">
        <v>604</v>
      </c>
    </row>
    <row r="50" ht="15.75" customHeight="1">
      <c r="A50" s="27">
        <v>48.0</v>
      </c>
      <c r="B50" s="28">
        <v>46143.0</v>
      </c>
      <c r="C50" s="27" t="s">
        <v>316</v>
      </c>
      <c r="D50" s="27" t="s">
        <v>317</v>
      </c>
      <c r="E50" s="27" t="s">
        <v>318</v>
      </c>
      <c r="F50" s="30" t="s">
        <v>390</v>
      </c>
      <c r="G50" s="30" t="s">
        <v>390</v>
      </c>
      <c r="H50" s="27" t="s">
        <v>605</v>
      </c>
      <c r="I50" s="27" t="s">
        <v>319</v>
      </c>
      <c r="J50" s="27" t="s">
        <v>606</v>
      </c>
    </row>
    <row r="51" ht="15.75" customHeight="1">
      <c r="A51" s="27">
        <v>49.0</v>
      </c>
      <c r="B51" s="28">
        <v>46143.0</v>
      </c>
      <c r="C51" s="27" t="s">
        <v>322</v>
      </c>
      <c r="D51" s="27" t="s">
        <v>323</v>
      </c>
      <c r="E51" s="27" t="s">
        <v>324</v>
      </c>
      <c r="F51" s="30" t="s">
        <v>390</v>
      </c>
      <c r="G51" s="30" t="s">
        <v>390</v>
      </c>
      <c r="H51" s="27" t="s">
        <v>605</v>
      </c>
      <c r="I51" s="27" t="s">
        <v>325</v>
      </c>
      <c r="J51" s="27" t="s">
        <v>606</v>
      </c>
    </row>
    <row r="52" ht="15.75" customHeight="1">
      <c r="A52" s="27">
        <v>50.0</v>
      </c>
      <c r="B52" s="28">
        <v>46143.0</v>
      </c>
      <c r="C52" s="27" t="s">
        <v>328</v>
      </c>
      <c r="D52" s="27" t="s">
        <v>329</v>
      </c>
      <c r="E52" s="27" t="s">
        <v>330</v>
      </c>
      <c r="F52" s="30" t="s">
        <v>390</v>
      </c>
      <c r="G52" s="30" t="s">
        <v>390</v>
      </c>
      <c r="H52" s="31" t="s">
        <v>603</v>
      </c>
      <c r="I52" s="27" t="s">
        <v>331</v>
      </c>
      <c r="J52" s="27" t="s">
        <v>604</v>
      </c>
    </row>
    <row r="53" ht="15.75" customHeight="1">
      <c r="A53" s="27">
        <v>51.0</v>
      </c>
      <c r="B53" s="28">
        <v>46143.0</v>
      </c>
      <c r="C53" s="27" t="s">
        <v>334</v>
      </c>
      <c r="D53" s="27" t="s">
        <v>335</v>
      </c>
      <c r="E53" s="27" t="s">
        <v>336</v>
      </c>
      <c r="F53" s="30" t="s">
        <v>390</v>
      </c>
      <c r="G53" s="30" t="s">
        <v>390</v>
      </c>
      <c r="H53" s="27" t="s">
        <v>605</v>
      </c>
      <c r="I53" s="27" t="s">
        <v>337</v>
      </c>
      <c r="J53" s="27" t="s">
        <v>606</v>
      </c>
    </row>
    <row r="54" ht="15.75" customHeight="1">
      <c r="A54" s="27">
        <v>52.0</v>
      </c>
      <c r="B54" s="28">
        <v>46143.0</v>
      </c>
      <c r="C54" s="27" t="s">
        <v>340</v>
      </c>
      <c r="D54" s="27" t="s">
        <v>341</v>
      </c>
      <c r="E54" s="27" t="s">
        <v>342</v>
      </c>
      <c r="F54" s="29" t="s">
        <v>379</v>
      </c>
      <c r="G54" s="29" t="s">
        <v>379</v>
      </c>
      <c r="H54" s="29" t="s">
        <v>379</v>
      </c>
      <c r="I54" s="27" t="s">
        <v>343</v>
      </c>
      <c r="J54" s="27" t="s">
        <v>602</v>
      </c>
    </row>
    <row r="55" ht="15.75" customHeight="1">
      <c r="A55" s="27">
        <v>53.0</v>
      </c>
      <c r="B55" s="28">
        <v>46143.0</v>
      </c>
      <c r="C55" s="27" t="s">
        <v>346</v>
      </c>
      <c r="D55" s="27" t="s">
        <v>347</v>
      </c>
      <c r="E55" s="27" t="s">
        <v>348</v>
      </c>
      <c r="F55" s="30" t="s">
        <v>390</v>
      </c>
      <c r="G55" s="30" t="s">
        <v>390</v>
      </c>
      <c r="H55" s="27" t="s">
        <v>605</v>
      </c>
      <c r="I55" s="27" t="s">
        <v>349</v>
      </c>
      <c r="J55" s="27" t="s">
        <v>606</v>
      </c>
    </row>
    <row r="56" ht="15.75" customHeight="1">
      <c r="A56" s="27">
        <v>54.0</v>
      </c>
      <c r="B56" s="28">
        <v>46143.0</v>
      </c>
      <c r="C56" s="27" t="s">
        <v>352</v>
      </c>
      <c r="D56" s="27" t="s">
        <v>353</v>
      </c>
      <c r="E56" s="27" t="s">
        <v>354</v>
      </c>
      <c r="F56" s="30" t="s">
        <v>390</v>
      </c>
      <c r="G56" s="30" t="s">
        <v>390</v>
      </c>
      <c r="H56" s="27" t="s">
        <v>605</v>
      </c>
      <c r="I56" s="27" t="s">
        <v>355</v>
      </c>
      <c r="J56" s="27" t="s">
        <v>606</v>
      </c>
    </row>
    <row r="57" ht="15.75" customHeight="1">
      <c r="A57" s="27">
        <v>55.0</v>
      </c>
      <c r="B57" s="28">
        <v>46143.0</v>
      </c>
      <c r="C57" s="27" t="s">
        <v>358</v>
      </c>
      <c r="D57" s="27" t="s">
        <v>359</v>
      </c>
      <c r="E57" s="27" t="s">
        <v>360</v>
      </c>
      <c r="F57" s="29" t="s">
        <v>379</v>
      </c>
      <c r="G57" s="27" t="s">
        <v>384</v>
      </c>
      <c r="H57" s="29" t="s">
        <v>379</v>
      </c>
      <c r="I57" s="27" t="s">
        <v>361</v>
      </c>
      <c r="J57" s="27" t="s">
        <v>602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3:H57">
      <formula1>Lists!$C$2:$C$3</formula1>
    </dataValidation>
    <dataValidation type="list" allowBlank="1" sqref="F3:F57">
      <formula1>Lists!$B$2:$B$4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0"/>
    <col customWidth="1" min="3" max="3" width="20.0"/>
    <col customWidth="1" min="4" max="4" width="12.0"/>
    <col customWidth="1" min="5" max="6" width="14.0"/>
    <col customWidth="1" min="7" max="7" width="16.0"/>
    <col customWidth="1" min="8" max="8" width="12.0"/>
    <col customWidth="1" min="9" max="9" width="16.0"/>
    <col customWidth="1" min="10" max="10" width="14.0"/>
    <col customWidth="1" min="11" max="20" width="8.63"/>
  </cols>
  <sheetData>
    <row r="1" ht="42.0" customHeight="1">
      <c r="A1" s="32"/>
      <c r="B1" s="32"/>
      <c r="C1" s="32"/>
      <c r="D1" s="33"/>
      <c r="E1" s="34" t="s">
        <v>607</v>
      </c>
      <c r="F1" s="33"/>
      <c r="G1" s="33"/>
      <c r="H1" s="33"/>
      <c r="I1" s="32"/>
      <c r="J1" s="32"/>
    </row>
    <row r="2">
      <c r="A2" s="35" t="s">
        <v>366</v>
      </c>
      <c r="B2" s="35" t="s">
        <v>2</v>
      </c>
      <c r="C2" s="35" t="s">
        <v>3</v>
      </c>
      <c r="D2" s="35" t="s">
        <v>609</v>
      </c>
      <c r="E2" s="35" t="s">
        <v>613</v>
      </c>
      <c r="F2" s="35" t="s">
        <v>15</v>
      </c>
      <c r="G2" s="35" t="s">
        <v>614</v>
      </c>
      <c r="H2" s="35" t="s">
        <v>372</v>
      </c>
      <c r="I2" s="35" t="s">
        <v>12</v>
      </c>
      <c r="J2" s="35" t="s">
        <v>608</v>
      </c>
    </row>
    <row r="3">
      <c r="A3" s="36">
        <v>1.0</v>
      </c>
      <c r="B3" s="36" t="s">
        <v>20</v>
      </c>
      <c r="C3" s="36" t="s">
        <v>21</v>
      </c>
      <c r="D3" s="36" t="s">
        <v>615</v>
      </c>
      <c r="E3" s="37">
        <v>1000.0</v>
      </c>
      <c r="F3" s="37">
        <v>500.0</v>
      </c>
      <c r="G3" s="37">
        <f t="shared" ref="G3:G56" si="1">E3-F3</f>
        <v>500</v>
      </c>
      <c r="H3" s="36" t="str">
        <f t="shared" ref="H3:H56" si="2">IF(G3&lt;=0,"PAID",IF(F3=0,"UNPAID","PARTIAL"))</f>
        <v>PARTIAL</v>
      </c>
      <c r="I3" s="36" t="s">
        <v>25</v>
      </c>
      <c r="J3" s="38">
        <v>46025.0</v>
      </c>
    </row>
    <row r="4">
      <c r="A4" s="36">
        <v>2.0</v>
      </c>
      <c r="B4" s="36" t="s">
        <v>28</v>
      </c>
      <c r="C4" s="36" t="s">
        <v>29</v>
      </c>
      <c r="D4" s="36" t="s">
        <v>615</v>
      </c>
      <c r="E4" s="37">
        <v>1200.0</v>
      </c>
      <c r="F4" s="37">
        <v>1000.0</v>
      </c>
      <c r="G4" s="37">
        <f t="shared" si="1"/>
        <v>200</v>
      </c>
      <c r="H4" s="36" t="str">
        <f t="shared" si="2"/>
        <v>PARTIAL</v>
      </c>
      <c r="I4" s="36" t="s">
        <v>33</v>
      </c>
      <c r="J4" s="38">
        <v>46027.0</v>
      </c>
    </row>
    <row r="5">
      <c r="A5" s="36">
        <v>3.0</v>
      </c>
      <c r="B5" s="36" t="s">
        <v>36</v>
      </c>
      <c r="C5" s="36" t="s">
        <v>37</v>
      </c>
      <c r="D5" s="36" t="s">
        <v>615</v>
      </c>
      <c r="E5" s="37">
        <v>1500.0</v>
      </c>
      <c r="F5" s="37">
        <v>1200.0</v>
      </c>
      <c r="G5" s="37">
        <f t="shared" si="1"/>
        <v>300</v>
      </c>
      <c r="H5" s="36" t="str">
        <f t="shared" si="2"/>
        <v>PARTIAL</v>
      </c>
      <c r="I5" s="36" t="s">
        <v>41</v>
      </c>
      <c r="J5" s="38">
        <v>46029.0</v>
      </c>
    </row>
    <row r="6">
      <c r="A6" s="36">
        <v>4.0</v>
      </c>
      <c r="B6" s="36" t="s">
        <v>44</v>
      </c>
      <c r="C6" s="36" t="s">
        <v>45</v>
      </c>
      <c r="D6" s="36" t="s">
        <v>615</v>
      </c>
      <c r="E6" s="37">
        <v>2000.0</v>
      </c>
      <c r="F6" s="37">
        <v>2000.0</v>
      </c>
      <c r="G6" s="37">
        <f t="shared" si="1"/>
        <v>0</v>
      </c>
      <c r="H6" s="36" t="str">
        <f t="shared" si="2"/>
        <v>PAID</v>
      </c>
      <c r="I6" s="36" t="s">
        <v>49</v>
      </c>
      <c r="J6" s="38">
        <v>46031.0</v>
      </c>
    </row>
    <row r="7">
      <c r="A7" s="36">
        <v>5.0</v>
      </c>
      <c r="B7" s="36" t="s">
        <v>52</v>
      </c>
      <c r="C7" s="36" t="s">
        <v>53</v>
      </c>
      <c r="D7" s="36" t="s">
        <v>615</v>
      </c>
      <c r="E7" s="37">
        <v>1800.0</v>
      </c>
      <c r="F7" s="37">
        <v>1500.0</v>
      </c>
      <c r="G7" s="37">
        <f t="shared" si="1"/>
        <v>300</v>
      </c>
      <c r="H7" s="36" t="str">
        <f t="shared" si="2"/>
        <v>PARTIAL</v>
      </c>
      <c r="I7" s="36" t="s">
        <v>56</v>
      </c>
      <c r="J7" s="38">
        <v>46033.0</v>
      </c>
    </row>
    <row r="8">
      <c r="A8" s="36">
        <v>6.0</v>
      </c>
      <c r="B8" s="36" t="s">
        <v>59</v>
      </c>
      <c r="C8" s="36" t="s">
        <v>60</v>
      </c>
      <c r="D8" s="36" t="s">
        <v>615</v>
      </c>
      <c r="E8" s="37">
        <v>2500.0</v>
      </c>
      <c r="F8" s="37">
        <v>2500.0</v>
      </c>
      <c r="G8" s="37">
        <f t="shared" si="1"/>
        <v>0</v>
      </c>
      <c r="H8" s="36" t="str">
        <f t="shared" si="2"/>
        <v>PAID</v>
      </c>
      <c r="I8" s="36" t="s">
        <v>63</v>
      </c>
      <c r="J8" s="38">
        <v>46035.0</v>
      </c>
    </row>
    <row r="9">
      <c r="A9" s="36">
        <v>7.0</v>
      </c>
      <c r="B9" s="36" t="s">
        <v>66</v>
      </c>
      <c r="C9" s="36" t="s">
        <v>67</v>
      </c>
      <c r="D9" s="36" t="s">
        <v>615</v>
      </c>
      <c r="E9" s="37">
        <v>3000.0</v>
      </c>
      <c r="F9" s="37">
        <v>1800.0</v>
      </c>
      <c r="G9" s="37">
        <f t="shared" si="1"/>
        <v>1200</v>
      </c>
      <c r="H9" s="36" t="str">
        <f t="shared" si="2"/>
        <v>PARTIAL</v>
      </c>
      <c r="I9" s="36" t="s">
        <v>70</v>
      </c>
      <c r="J9" s="38">
        <v>46037.0</v>
      </c>
    </row>
    <row r="10">
      <c r="A10" s="36">
        <v>8.0</v>
      </c>
      <c r="B10" s="36" t="s">
        <v>73</v>
      </c>
      <c r="C10" s="36" t="s">
        <v>74</v>
      </c>
      <c r="D10" s="36" t="s">
        <v>615</v>
      </c>
      <c r="E10" s="37">
        <v>1100.0</v>
      </c>
      <c r="F10" s="37">
        <v>1100.0</v>
      </c>
      <c r="G10" s="37">
        <f t="shared" si="1"/>
        <v>0</v>
      </c>
      <c r="H10" s="36" t="str">
        <f t="shared" si="2"/>
        <v>PAID</v>
      </c>
      <c r="I10" s="36" t="s">
        <v>77</v>
      </c>
      <c r="J10" s="38">
        <v>46039.0</v>
      </c>
    </row>
    <row r="11">
      <c r="A11" s="36">
        <v>9.0</v>
      </c>
      <c r="B11" s="36" t="s">
        <v>80</v>
      </c>
      <c r="C11" s="36" t="s">
        <v>81</v>
      </c>
      <c r="D11" s="36" t="s">
        <v>615</v>
      </c>
      <c r="E11" s="37">
        <v>1400.0</v>
      </c>
      <c r="F11" s="37">
        <v>1400.0</v>
      </c>
      <c r="G11" s="37">
        <f t="shared" si="1"/>
        <v>0</v>
      </c>
      <c r="H11" s="36" t="str">
        <f t="shared" si="2"/>
        <v>PAID</v>
      </c>
      <c r="I11" s="36" t="s">
        <v>84</v>
      </c>
      <c r="J11" s="38">
        <v>46041.0</v>
      </c>
    </row>
    <row r="12">
      <c r="A12" s="36">
        <v>10.0</v>
      </c>
      <c r="B12" s="36" t="s">
        <v>87</v>
      </c>
      <c r="C12" s="36" t="s">
        <v>88</v>
      </c>
      <c r="D12" s="36" t="s">
        <v>615</v>
      </c>
      <c r="E12" s="37">
        <v>1600.0</v>
      </c>
      <c r="F12" s="37">
        <v>1600.0</v>
      </c>
      <c r="G12" s="37">
        <f t="shared" si="1"/>
        <v>0</v>
      </c>
      <c r="H12" s="36" t="str">
        <f t="shared" si="2"/>
        <v>PAID</v>
      </c>
      <c r="I12" s="36" t="s">
        <v>91</v>
      </c>
      <c r="J12" s="38">
        <v>46043.0</v>
      </c>
    </row>
    <row r="13">
      <c r="A13" s="36">
        <v>11.0</v>
      </c>
      <c r="B13" s="36" t="s">
        <v>94</v>
      </c>
      <c r="C13" s="36" t="s">
        <v>95</v>
      </c>
      <c r="D13" s="36" t="s">
        <v>615</v>
      </c>
      <c r="E13" s="37">
        <v>1700.0</v>
      </c>
      <c r="F13" s="37">
        <v>900.0</v>
      </c>
      <c r="G13" s="37">
        <f t="shared" si="1"/>
        <v>800</v>
      </c>
      <c r="H13" s="36" t="str">
        <f t="shared" si="2"/>
        <v>PARTIAL</v>
      </c>
      <c r="I13" s="36" t="s">
        <v>97</v>
      </c>
      <c r="J13" s="38">
        <v>46045.0</v>
      </c>
    </row>
    <row r="14">
      <c r="A14" s="36">
        <v>13.0</v>
      </c>
      <c r="B14" s="36" t="s">
        <v>106</v>
      </c>
      <c r="C14" s="36" t="s">
        <v>107</v>
      </c>
      <c r="D14" s="36" t="s">
        <v>615</v>
      </c>
      <c r="E14" s="37">
        <v>2200.0</v>
      </c>
      <c r="F14" s="37">
        <v>2200.0</v>
      </c>
      <c r="G14" s="37">
        <f t="shared" si="1"/>
        <v>0</v>
      </c>
      <c r="H14" s="36" t="str">
        <f t="shared" si="2"/>
        <v>PAID</v>
      </c>
      <c r="I14" s="36" t="s">
        <v>109</v>
      </c>
      <c r="J14" s="38">
        <v>46049.0</v>
      </c>
    </row>
    <row r="15">
      <c r="A15" s="36">
        <v>14.0</v>
      </c>
      <c r="B15" s="36" t="s">
        <v>112</v>
      </c>
      <c r="C15" s="36" t="s">
        <v>113</v>
      </c>
      <c r="D15" s="36" t="s">
        <v>615</v>
      </c>
      <c r="E15" s="37">
        <v>2300.0</v>
      </c>
      <c r="F15" s="37">
        <v>2300.0</v>
      </c>
      <c r="G15" s="37">
        <f t="shared" si="1"/>
        <v>0</v>
      </c>
      <c r="H15" s="36" t="str">
        <f t="shared" si="2"/>
        <v>PAID</v>
      </c>
      <c r="I15" s="36" t="s">
        <v>115</v>
      </c>
      <c r="J15" s="38">
        <v>46023.0</v>
      </c>
    </row>
    <row r="16">
      <c r="A16" s="36">
        <v>15.0</v>
      </c>
      <c r="B16" s="36" t="s">
        <v>118</v>
      </c>
      <c r="C16" s="36" t="s">
        <v>119</v>
      </c>
      <c r="D16" s="36" t="s">
        <v>615</v>
      </c>
      <c r="E16" s="37">
        <v>2400.0</v>
      </c>
      <c r="F16" s="37">
        <v>2400.0</v>
      </c>
      <c r="G16" s="37">
        <f t="shared" si="1"/>
        <v>0</v>
      </c>
      <c r="H16" s="36" t="str">
        <f t="shared" si="2"/>
        <v>PAID</v>
      </c>
      <c r="I16" s="36" t="s">
        <v>121</v>
      </c>
      <c r="J16" s="38">
        <v>46025.0</v>
      </c>
    </row>
    <row r="17">
      <c r="A17" s="36">
        <v>16.0</v>
      </c>
      <c r="B17" s="36" t="s">
        <v>124</v>
      </c>
      <c r="C17" s="36" t="s">
        <v>125</v>
      </c>
      <c r="D17" s="36" t="s">
        <v>615</v>
      </c>
      <c r="E17" s="37">
        <v>2600.0</v>
      </c>
      <c r="F17" s="37">
        <v>2100.0</v>
      </c>
      <c r="G17" s="37">
        <f t="shared" si="1"/>
        <v>500</v>
      </c>
      <c r="H17" s="36" t="str">
        <f t="shared" si="2"/>
        <v>PARTIAL</v>
      </c>
      <c r="I17" s="36" t="s">
        <v>127</v>
      </c>
      <c r="J17" s="38">
        <v>46027.0</v>
      </c>
    </row>
    <row r="18">
      <c r="A18" s="36">
        <v>17.0</v>
      </c>
      <c r="B18" s="36" t="s">
        <v>130</v>
      </c>
      <c r="C18" s="36" t="s">
        <v>131</v>
      </c>
      <c r="D18" s="36" t="s">
        <v>615</v>
      </c>
      <c r="E18" s="37">
        <v>2800.0</v>
      </c>
      <c r="F18" s="37">
        <v>2800.0</v>
      </c>
      <c r="G18" s="37">
        <f t="shared" si="1"/>
        <v>0</v>
      </c>
      <c r="H18" s="36" t="str">
        <f t="shared" si="2"/>
        <v>PAID</v>
      </c>
      <c r="I18" s="36" t="s">
        <v>133</v>
      </c>
      <c r="J18" s="38">
        <v>46029.0</v>
      </c>
    </row>
    <row r="19">
      <c r="A19" s="36">
        <v>18.0</v>
      </c>
      <c r="B19" s="36" t="s">
        <v>136</v>
      </c>
      <c r="C19" s="36" t="s">
        <v>137</v>
      </c>
      <c r="D19" s="36" t="s">
        <v>615</v>
      </c>
      <c r="E19" s="37">
        <v>1500.0</v>
      </c>
      <c r="F19" s="37">
        <v>1500.0</v>
      </c>
      <c r="G19" s="37">
        <f t="shared" si="1"/>
        <v>0</v>
      </c>
      <c r="H19" s="36" t="str">
        <f t="shared" si="2"/>
        <v>PAID</v>
      </c>
      <c r="I19" s="36" t="s">
        <v>139</v>
      </c>
      <c r="J19" s="38">
        <v>46031.0</v>
      </c>
    </row>
    <row r="20" ht="15.75" customHeight="1">
      <c r="A20" s="36">
        <v>19.0</v>
      </c>
      <c r="B20" s="36" t="s">
        <v>142</v>
      </c>
      <c r="C20" s="36" t="s">
        <v>143</v>
      </c>
      <c r="D20" s="36" t="s">
        <v>615</v>
      </c>
      <c r="E20" s="37">
        <v>1800.0</v>
      </c>
      <c r="F20" s="37">
        <v>1300.0</v>
      </c>
      <c r="G20" s="37">
        <f t="shared" si="1"/>
        <v>500</v>
      </c>
      <c r="H20" s="36" t="str">
        <f t="shared" si="2"/>
        <v>PARTIAL</v>
      </c>
      <c r="I20" s="36" t="s">
        <v>145</v>
      </c>
      <c r="J20" s="38">
        <v>46033.0</v>
      </c>
    </row>
    <row r="21" ht="15.75" customHeight="1">
      <c r="A21" s="36">
        <v>20.0</v>
      </c>
      <c r="B21" s="36" t="s">
        <v>148</v>
      </c>
      <c r="C21" s="36" t="s">
        <v>149</v>
      </c>
      <c r="D21" s="36" t="s">
        <v>615</v>
      </c>
      <c r="E21" s="37">
        <v>2000.0</v>
      </c>
      <c r="F21" s="37">
        <v>2000.0</v>
      </c>
      <c r="G21" s="37">
        <f t="shared" si="1"/>
        <v>0</v>
      </c>
      <c r="H21" s="36" t="str">
        <f t="shared" si="2"/>
        <v>PAID</v>
      </c>
      <c r="I21" s="36" t="s">
        <v>151</v>
      </c>
      <c r="J21" s="38">
        <v>46035.0</v>
      </c>
    </row>
    <row r="22" ht="15.75" customHeight="1">
      <c r="A22" s="36">
        <v>21.0</v>
      </c>
      <c r="B22" s="36" t="s">
        <v>154</v>
      </c>
      <c r="C22" s="36" t="s">
        <v>155</v>
      </c>
      <c r="D22" s="36" t="s">
        <v>615</v>
      </c>
      <c r="E22" s="37">
        <v>2100.0</v>
      </c>
      <c r="F22" s="37">
        <v>1600.0</v>
      </c>
      <c r="G22" s="37">
        <f t="shared" si="1"/>
        <v>500</v>
      </c>
      <c r="H22" s="36" t="str">
        <f t="shared" si="2"/>
        <v>PARTIAL</v>
      </c>
      <c r="I22" s="36" t="s">
        <v>157</v>
      </c>
      <c r="J22" s="38">
        <v>46037.0</v>
      </c>
    </row>
    <row r="23" ht="15.75" customHeight="1">
      <c r="A23" s="36">
        <v>22.0</v>
      </c>
      <c r="B23" s="36" t="s">
        <v>160</v>
      </c>
      <c r="C23" s="36" t="s">
        <v>161</v>
      </c>
      <c r="D23" s="36" t="s">
        <v>615</v>
      </c>
      <c r="E23" s="37">
        <v>1700.0</v>
      </c>
      <c r="F23" s="37">
        <v>1700.0</v>
      </c>
      <c r="G23" s="37">
        <f t="shared" si="1"/>
        <v>0</v>
      </c>
      <c r="H23" s="36" t="str">
        <f t="shared" si="2"/>
        <v>PAID</v>
      </c>
      <c r="I23" s="36" t="s">
        <v>163</v>
      </c>
      <c r="J23" s="38">
        <v>46039.0</v>
      </c>
    </row>
    <row r="24" ht="15.75" customHeight="1">
      <c r="A24" s="36">
        <v>23.0</v>
      </c>
      <c r="B24" s="36" t="s">
        <v>166</v>
      </c>
      <c r="C24" s="36" t="s">
        <v>167</v>
      </c>
      <c r="D24" s="36" t="s">
        <v>615</v>
      </c>
      <c r="E24" s="37">
        <v>1600.0</v>
      </c>
      <c r="F24" s="37">
        <v>1600.0</v>
      </c>
      <c r="G24" s="37">
        <f t="shared" si="1"/>
        <v>0</v>
      </c>
      <c r="H24" s="36" t="str">
        <f t="shared" si="2"/>
        <v>PAID</v>
      </c>
      <c r="I24" s="36" t="s">
        <v>169</v>
      </c>
      <c r="J24" s="38">
        <v>46041.0</v>
      </c>
    </row>
    <row r="25" ht="15.75" customHeight="1">
      <c r="A25" s="36">
        <v>24.0</v>
      </c>
      <c r="B25" s="36" t="s">
        <v>172</v>
      </c>
      <c r="C25" s="36" t="s">
        <v>173</v>
      </c>
      <c r="D25" s="36" t="s">
        <v>615</v>
      </c>
      <c r="E25" s="37">
        <v>1900.0</v>
      </c>
      <c r="F25" s="37">
        <v>1600.0</v>
      </c>
      <c r="G25" s="37">
        <f t="shared" si="1"/>
        <v>300</v>
      </c>
      <c r="H25" s="36" t="str">
        <f t="shared" si="2"/>
        <v>PARTIAL</v>
      </c>
      <c r="I25" s="36" t="s">
        <v>175</v>
      </c>
      <c r="J25" s="38">
        <v>46043.0</v>
      </c>
    </row>
    <row r="26" ht="15.75" customHeight="1">
      <c r="A26" s="36">
        <v>25.0</v>
      </c>
      <c r="B26" s="36" t="s">
        <v>178</v>
      </c>
      <c r="C26" s="36" t="s">
        <v>179</v>
      </c>
      <c r="D26" s="36" t="s">
        <v>615</v>
      </c>
      <c r="E26" s="37">
        <v>2200.0</v>
      </c>
      <c r="F26" s="37">
        <v>2200.0</v>
      </c>
      <c r="G26" s="37">
        <f t="shared" si="1"/>
        <v>0</v>
      </c>
      <c r="H26" s="36" t="str">
        <f t="shared" si="2"/>
        <v>PAID</v>
      </c>
      <c r="I26" s="36" t="s">
        <v>181</v>
      </c>
      <c r="J26" s="38">
        <v>46045.0</v>
      </c>
    </row>
    <row r="27" ht="15.75" customHeight="1">
      <c r="A27" s="36">
        <v>26.0</v>
      </c>
      <c r="B27" s="36" t="s">
        <v>184</v>
      </c>
      <c r="C27" s="36" t="s">
        <v>185</v>
      </c>
      <c r="D27" s="36" t="s">
        <v>615</v>
      </c>
      <c r="E27" s="37">
        <v>2500.0</v>
      </c>
      <c r="F27" s="37">
        <v>2500.0</v>
      </c>
      <c r="G27" s="37">
        <f t="shared" si="1"/>
        <v>0</v>
      </c>
      <c r="H27" s="36" t="str">
        <f t="shared" si="2"/>
        <v>PAID</v>
      </c>
      <c r="I27" s="36" t="s">
        <v>187</v>
      </c>
      <c r="J27" s="38">
        <v>46047.0</v>
      </c>
    </row>
    <row r="28" ht="15.75" customHeight="1">
      <c r="A28" s="36">
        <v>27.0</v>
      </c>
      <c r="B28" s="36" t="s">
        <v>190</v>
      </c>
      <c r="C28" s="36" t="s">
        <v>191</v>
      </c>
      <c r="D28" s="36" t="s">
        <v>615</v>
      </c>
      <c r="E28" s="37">
        <v>3000.0</v>
      </c>
      <c r="F28" s="37">
        <v>3000.0</v>
      </c>
      <c r="G28" s="37">
        <f t="shared" si="1"/>
        <v>0</v>
      </c>
      <c r="H28" s="36" t="str">
        <f t="shared" si="2"/>
        <v>PAID</v>
      </c>
      <c r="I28" s="36" t="s">
        <v>193</v>
      </c>
      <c r="J28" s="38">
        <v>46049.0</v>
      </c>
    </row>
    <row r="29" ht="15.75" customHeight="1">
      <c r="A29" s="36">
        <v>28.0</v>
      </c>
      <c r="B29" s="36" t="s">
        <v>196</v>
      </c>
      <c r="C29" s="36" t="s">
        <v>197</v>
      </c>
      <c r="D29" s="36" t="s">
        <v>615</v>
      </c>
      <c r="E29" s="37">
        <v>1100.0</v>
      </c>
      <c r="F29" s="37">
        <v>700.0</v>
      </c>
      <c r="G29" s="37">
        <f t="shared" si="1"/>
        <v>400</v>
      </c>
      <c r="H29" s="36" t="str">
        <f t="shared" si="2"/>
        <v>PARTIAL</v>
      </c>
      <c r="I29" s="36" t="s">
        <v>199</v>
      </c>
      <c r="J29" s="38">
        <v>46023.0</v>
      </c>
    </row>
    <row r="30" ht="15.75" customHeight="1">
      <c r="A30" s="36">
        <v>29.0</v>
      </c>
      <c r="B30" s="36" t="s">
        <v>202</v>
      </c>
      <c r="C30" s="36" t="s">
        <v>203</v>
      </c>
      <c r="D30" s="36" t="s">
        <v>615</v>
      </c>
      <c r="E30" s="37">
        <v>1300.0</v>
      </c>
      <c r="F30" s="37">
        <v>700.0</v>
      </c>
      <c r="G30" s="37">
        <f t="shared" si="1"/>
        <v>600</v>
      </c>
      <c r="H30" s="36" t="str">
        <f t="shared" si="2"/>
        <v>PARTIAL</v>
      </c>
      <c r="I30" s="36" t="s">
        <v>205</v>
      </c>
      <c r="J30" s="38">
        <v>46025.0</v>
      </c>
    </row>
    <row r="31" ht="15.75" customHeight="1">
      <c r="A31" s="36">
        <v>30.0</v>
      </c>
      <c r="B31" s="36" t="s">
        <v>208</v>
      </c>
      <c r="C31" s="36" t="s">
        <v>209</v>
      </c>
      <c r="D31" s="36" t="s">
        <v>615</v>
      </c>
      <c r="E31" s="37">
        <v>1400.0</v>
      </c>
      <c r="F31" s="37">
        <v>1400.0</v>
      </c>
      <c r="G31" s="37">
        <f t="shared" si="1"/>
        <v>0</v>
      </c>
      <c r="H31" s="36" t="str">
        <f t="shared" si="2"/>
        <v>PAID</v>
      </c>
      <c r="I31" s="36" t="s">
        <v>211</v>
      </c>
      <c r="J31" s="38">
        <v>46027.0</v>
      </c>
    </row>
    <row r="32" ht="15.75" customHeight="1">
      <c r="A32" s="36">
        <v>31.0</v>
      </c>
      <c r="B32" s="36" t="s">
        <v>214</v>
      </c>
      <c r="C32" s="36" t="s">
        <v>215</v>
      </c>
      <c r="D32" s="36" t="s">
        <v>615</v>
      </c>
      <c r="E32" s="37">
        <v>1500.0</v>
      </c>
      <c r="F32" s="37">
        <v>1500.0</v>
      </c>
      <c r="G32" s="37">
        <f t="shared" si="1"/>
        <v>0</v>
      </c>
      <c r="H32" s="36" t="str">
        <f t="shared" si="2"/>
        <v>PAID</v>
      </c>
      <c r="I32" s="36" t="s">
        <v>217</v>
      </c>
      <c r="J32" s="38">
        <v>46029.0</v>
      </c>
    </row>
    <row r="33" ht="15.75" customHeight="1">
      <c r="A33" s="36">
        <v>32.0</v>
      </c>
      <c r="B33" s="36" t="s">
        <v>220</v>
      </c>
      <c r="C33" s="36" t="s">
        <v>221</v>
      </c>
      <c r="D33" s="36" t="s">
        <v>615</v>
      </c>
      <c r="E33" s="37">
        <v>1600.0</v>
      </c>
      <c r="F33" s="37">
        <v>1600.0</v>
      </c>
      <c r="G33" s="37">
        <f t="shared" si="1"/>
        <v>0</v>
      </c>
      <c r="H33" s="36" t="str">
        <f t="shared" si="2"/>
        <v>PAID</v>
      </c>
      <c r="I33" s="36" t="s">
        <v>223</v>
      </c>
      <c r="J33" s="38">
        <v>46031.0</v>
      </c>
    </row>
    <row r="34" ht="15.75" customHeight="1">
      <c r="A34" s="36">
        <v>33.0</v>
      </c>
      <c r="B34" s="36" t="s">
        <v>226</v>
      </c>
      <c r="C34" s="36" t="s">
        <v>227</v>
      </c>
      <c r="D34" s="36" t="s">
        <v>615</v>
      </c>
      <c r="E34" s="37">
        <v>1700.0</v>
      </c>
      <c r="F34" s="37">
        <v>1700.0</v>
      </c>
      <c r="G34" s="37">
        <f t="shared" si="1"/>
        <v>0</v>
      </c>
      <c r="H34" s="36" t="str">
        <f t="shared" si="2"/>
        <v>PAID</v>
      </c>
      <c r="I34" s="36" t="s">
        <v>229</v>
      </c>
      <c r="J34" s="38">
        <v>46033.0</v>
      </c>
    </row>
    <row r="35" ht="15.75" customHeight="1">
      <c r="A35" s="36">
        <v>34.0</v>
      </c>
      <c r="B35" s="36" t="s">
        <v>232</v>
      </c>
      <c r="C35" s="36" t="s">
        <v>233</v>
      </c>
      <c r="D35" s="36" t="s">
        <v>615</v>
      </c>
      <c r="E35" s="37">
        <v>1800.0</v>
      </c>
      <c r="F35" s="37">
        <v>1800.0</v>
      </c>
      <c r="G35" s="37">
        <f t="shared" si="1"/>
        <v>0</v>
      </c>
      <c r="H35" s="36" t="str">
        <f t="shared" si="2"/>
        <v>PAID</v>
      </c>
      <c r="I35" s="36" t="s">
        <v>235</v>
      </c>
      <c r="J35" s="38">
        <v>46035.0</v>
      </c>
    </row>
    <row r="36" ht="15.75" customHeight="1">
      <c r="A36" s="36">
        <v>35.0</v>
      </c>
      <c r="B36" s="36" t="s">
        <v>238</v>
      </c>
      <c r="C36" s="36" t="s">
        <v>239</v>
      </c>
      <c r="D36" s="36" t="s">
        <v>615</v>
      </c>
      <c r="E36" s="37">
        <v>1900.0</v>
      </c>
      <c r="F36" s="37">
        <v>1900.0</v>
      </c>
      <c r="G36" s="37">
        <f t="shared" si="1"/>
        <v>0</v>
      </c>
      <c r="H36" s="36" t="str">
        <f t="shared" si="2"/>
        <v>PAID</v>
      </c>
      <c r="I36" s="36" t="s">
        <v>241</v>
      </c>
      <c r="J36" s="38">
        <v>46037.0</v>
      </c>
    </row>
    <row r="37" ht="15.75" customHeight="1">
      <c r="A37" s="36">
        <v>36.0</v>
      </c>
      <c r="B37" s="36" t="s">
        <v>244</v>
      </c>
      <c r="C37" s="36" t="s">
        <v>245</v>
      </c>
      <c r="D37" s="36" t="s">
        <v>615</v>
      </c>
      <c r="E37" s="37">
        <v>2000.0</v>
      </c>
      <c r="F37" s="37">
        <v>2000.0</v>
      </c>
      <c r="G37" s="37">
        <f t="shared" si="1"/>
        <v>0</v>
      </c>
      <c r="H37" s="36" t="str">
        <f t="shared" si="2"/>
        <v>PAID</v>
      </c>
      <c r="I37" s="36" t="s">
        <v>247</v>
      </c>
      <c r="J37" s="38">
        <v>46039.0</v>
      </c>
    </row>
    <row r="38" ht="15.75" customHeight="1">
      <c r="A38" s="36">
        <v>37.0</v>
      </c>
      <c r="B38" s="36" t="s">
        <v>250</v>
      </c>
      <c r="C38" s="36" t="s">
        <v>251</v>
      </c>
      <c r="D38" s="36" t="s">
        <v>615</v>
      </c>
      <c r="E38" s="37">
        <v>2100.0</v>
      </c>
      <c r="F38" s="37">
        <v>2100.0</v>
      </c>
      <c r="G38" s="37">
        <f t="shared" si="1"/>
        <v>0</v>
      </c>
      <c r="H38" s="36" t="str">
        <f t="shared" si="2"/>
        <v>PAID</v>
      </c>
      <c r="I38" s="36" t="s">
        <v>253</v>
      </c>
      <c r="J38" s="38">
        <v>46041.0</v>
      </c>
    </row>
    <row r="39" ht="15.75" customHeight="1">
      <c r="A39" s="36">
        <v>38.0</v>
      </c>
      <c r="B39" s="36" t="s">
        <v>256</v>
      </c>
      <c r="C39" s="36" t="s">
        <v>257</v>
      </c>
      <c r="D39" s="36" t="s">
        <v>615</v>
      </c>
      <c r="E39" s="37">
        <v>2200.0</v>
      </c>
      <c r="F39" s="37">
        <v>2200.0</v>
      </c>
      <c r="G39" s="37">
        <f t="shared" si="1"/>
        <v>0</v>
      </c>
      <c r="H39" s="36" t="str">
        <f t="shared" si="2"/>
        <v>PAID</v>
      </c>
      <c r="I39" s="36" t="s">
        <v>259</v>
      </c>
      <c r="J39" s="38">
        <v>46043.0</v>
      </c>
    </row>
    <row r="40" ht="15.75" customHeight="1">
      <c r="A40" s="36">
        <v>39.0</v>
      </c>
      <c r="B40" s="36" t="s">
        <v>262</v>
      </c>
      <c r="C40" s="36" t="s">
        <v>263</v>
      </c>
      <c r="D40" s="36" t="s">
        <v>615</v>
      </c>
      <c r="E40" s="37">
        <v>2300.0</v>
      </c>
      <c r="F40" s="37">
        <v>2300.0</v>
      </c>
      <c r="G40" s="37">
        <f t="shared" si="1"/>
        <v>0</v>
      </c>
      <c r="H40" s="36" t="str">
        <f t="shared" si="2"/>
        <v>PAID</v>
      </c>
      <c r="I40" s="36" t="s">
        <v>265</v>
      </c>
      <c r="J40" s="38">
        <v>46045.0</v>
      </c>
    </row>
    <row r="41" ht="15.75" customHeight="1">
      <c r="A41" s="36">
        <v>40.0</v>
      </c>
      <c r="B41" s="36" t="s">
        <v>268</v>
      </c>
      <c r="C41" s="36" t="s">
        <v>269</v>
      </c>
      <c r="D41" s="36" t="s">
        <v>615</v>
      </c>
      <c r="E41" s="37">
        <v>2400.0</v>
      </c>
      <c r="F41" s="37">
        <v>2400.0</v>
      </c>
      <c r="G41" s="37">
        <f t="shared" si="1"/>
        <v>0</v>
      </c>
      <c r="H41" s="36" t="str">
        <f t="shared" si="2"/>
        <v>PAID</v>
      </c>
      <c r="I41" s="36" t="s">
        <v>271</v>
      </c>
      <c r="J41" s="38">
        <v>46047.0</v>
      </c>
    </row>
    <row r="42" ht="15.75" customHeight="1">
      <c r="A42" s="36">
        <v>41.0</v>
      </c>
      <c r="B42" s="36" t="s">
        <v>274</v>
      </c>
      <c r="C42" s="36" t="s">
        <v>275</v>
      </c>
      <c r="D42" s="36" t="s">
        <v>615</v>
      </c>
      <c r="E42" s="37">
        <v>2500.0</v>
      </c>
      <c r="F42" s="37">
        <v>2500.0</v>
      </c>
      <c r="G42" s="37">
        <f t="shared" si="1"/>
        <v>0</v>
      </c>
      <c r="H42" s="36" t="str">
        <f t="shared" si="2"/>
        <v>PAID</v>
      </c>
      <c r="I42" s="36" t="s">
        <v>277</v>
      </c>
      <c r="J42" s="38">
        <v>46049.0</v>
      </c>
    </row>
    <row r="43" ht="15.75" customHeight="1">
      <c r="A43" s="36">
        <v>42.0</v>
      </c>
      <c r="B43" s="36" t="s">
        <v>280</v>
      </c>
      <c r="C43" s="36" t="s">
        <v>281</v>
      </c>
      <c r="D43" s="36" t="s">
        <v>615</v>
      </c>
      <c r="E43" s="37">
        <v>2600.0</v>
      </c>
      <c r="F43" s="37">
        <v>2600.0</v>
      </c>
      <c r="G43" s="37">
        <f t="shared" si="1"/>
        <v>0</v>
      </c>
      <c r="H43" s="36" t="str">
        <f t="shared" si="2"/>
        <v>PAID</v>
      </c>
      <c r="I43" s="36" t="s">
        <v>283</v>
      </c>
      <c r="J43" s="38">
        <v>46023.0</v>
      </c>
    </row>
    <row r="44" ht="15.75" customHeight="1">
      <c r="A44" s="36">
        <v>43.0</v>
      </c>
      <c r="B44" s="36" t="s">
        <v>286</v>
      </c>
      <c r="C44" s="36" t="s">
        <v>287</v>
      </c>
      <c r="D44" s="36" t="s">
        <v>615</v>
      </c>
      <c r="E44" s="37">
        <v>2700.0</v>
      </c>
      <c r="F44" s="37">
        <v>2700.0</v>
      </c>
      <c r="G44" s="37">
        <f t="shared" si="1"/>
        <v>0</v>
      </c>
      <c r="H44" s="36" t="str">
        <f t="shared" si="2"/>
        <v>PAID</v>
      </c>
      <c r="I44" s="36" t="s">
        <v>289</v>
      </c>
      <c r="J44" s="38">
        <v>46025.0</v>
      </c>
    </row>
    <row r="45" ht="15.75" customHeight="1">
      <c r="A45" s="36">
        <v>44.0</v>
      </c>
      <c r="B45" s="36" t="s">
        <v>292</v>
      </c>
      <c r="C45" s="36" t="s">
        <v>293</v>
      </c>
      <c r="D45" s="36" t="s">
        <v>615</v>
      </c>
      <c r="E45" s="37">
        <v>2800.0</v>
      </c>
      <c r="F45" s="37">
        <v>2800.0</v>
      </c>
      <c r="G45" s="37">
        <f t="shared" si="1"/>
        <v>0</v>
      </c>
      <c r="H45" s="36" t="str">
        <f t="shared" si="2"/>
        <v>PAID</v>
      </c>
      <c r="I45" s="36" t="s">
        <v>295</v>
      </c>
      <c r="J45" s="38">
        <v>46027.0</v>
      </c>
    </row>
    <row r="46" ht="15.75" customHeight="1">
      <c r="A46" s="36">
        <v>45.0</v>
      </c>
      <c r="B46" s="36" t="s">
        <v>298</v>
      </c>
      <c r="C46" s="36" t="s">
        <v>299</v>
      </c>
      <c r="D46" s="36" t="s">
        <v>615</v>
      </c>
      <c r="E46" s="37">
        <v>3000.0</v>
      </c>
      <c r="F46" s="37">
        <v>3000.0</v>
      </c>
      <c r="G46" s="37">
        <f t="shared" si="1"/>
        <v>0</v>
      </c>
      <c r="H46" s="36" t="str">
        <f t="shared" si="2"/>
        <v>PAID</v>
      </c>
      <c r="I46" s="36" t="s">
        <v>301</v>
      </c>
      <c r="J46" s="38">
        <v>46029.0</v>
      </c>
    </row>
    <row r="47" ht="15.75" customHeight="1">
      <c r="A47" s="36">
        <v>46.0</v>
      </c>
      <c r="B47" s="36" t="s">
        <v>304</v>
      </c>
      <c r="C47" s="36" t="s">
        <v>305</v>
      </c>
      <c r="D47" s="36" t="s">
        <v>615</v>
      </c>
      <c r="E47" s="37">
        <v>1200.0</v>
      </c>
      <c r="F47" s="37">
        <v>1200.0</v>
      </c>
      <c r="G47" s="37">
        <f t="shared" si="1"/>
        <v>0</v>
      </c>
      <c r="H47" s="36" t="str">
        <f t="shared" si="2"/>
        <v>PAID</v>
      </c>
      <c r="I47" s="36" t="s">
        <v>307</v>
      </c>
      <c r="J47" s="38">
        <v>46031.0</v>
      </c>
    </row>
    <row r="48" ht="15.75" customHeight="1">
      <c r="A48" s="36">
        <v>47.0</v>
      </c>
      <c r="B48" s="36" t="s">
        <v>310</v>
      </c>
      <c r="C48" s="36" t="s">
        <v>311</v>
      </c>
      <c r="D48" s="36" t="s">
        <v>615</v>
      </c>
      <c r="E48" s="37">
        <v>1300.0</v>
      </c>
      <c r="F48" s="37">
        <v>1300.0</v>
      </c>
      <c r="G48" s="37">
        <f t="shared" si="1"/>
        <v>0</v>
      </c>
      <c r="H48" s="36" t="str">
        <f t="shared" si="2"/>
        <v>PAID</v>
      </c>
      <c r="I48" s="36" t="s">
        <v>313</v>
      </c>
      <c r="J48" s="38">
        <v>46033.0</v>
      </c>
    </row>
    <row r="49" ht="15.75" customHeight="1">
      <c r="A49" s="36">
        <v>48.0</v>
      </c>
      <c r="B49" s="36" t="s">
        <v>316</v>
      </c>
      <c r="C49" s="36" t="s">
        <v>317</v>
      </c>
      <c r="D49" s="36" t="s">
        <v>615</v>
      </c>
      <c r="E49" s="37">
        <v>1400.0</v>
      </c>
      <c r="F49" s="37">
        <v>1400.0</v>
      </c>
      <c r="G49" s="37">
        <f t="shared" si="1"/>
        <v>0</v>
      </c>
      <c r="H49" s="36" t="str">
        <f t="shared" si="2"/>
        <v>PAID</v>
      </c>
      <c r="I49" s="36" t="s">
        <v>319</v>
      </c>
      <c r="J49" s="38">
        <v>46035.0</v>
      </c>
    </row>
    <row r="50" ht="15.75" customHeight="1">
      <c r="A50" s="36">
        <v>49.0</v>
      </c>
      <c r="B50" s="36" t="s">
        <v>322</v>
      </c>
      <c r="C50" s="36" t="s">
        <v>323</v>
      </c>
      <c r="D50" s="36" t="s">
        <v>615</v>
      </c>
      <c r="E50" s="37">
        <v>1500.0</v>
      </c>
      <c r="F50" s="37">
        <v>1500.0</v>
      </c>
      <c r="G50" s="37">
        <f t="shared" si="1"/>
        <v>0</v>
      </c>
      <c r="H50" s="36" t="str">
        <f t="shared" si="2"/>
        <v>PAID</v>
      </c>
      <c r="I50" s="36" t="s">
        <v>325</v>
      </c>
      <c r="J50" s="38">
        <v>46037.0</v>
      </c>
    </row>
    <row r="51" ht="15.75" customHeight="1">
      <c r="A51" s="36">
        <v>50.0</v>
      </c>
      <c r="B51" s="36" t="s">
        <v>328</v>
      </c>
      <c r="C51" s="36" t="s">
        <v>329</v>
      </c>
      <c r="D51" s="36" t="s">
        <v>615</v>
      </c>
      <c r="E51" s="37">
        <v>1600.0</v>
      </c>
      <c r="F51" s="37">
        <v>1600.0</v>
      </c>
      <c r="G51" s="37">
        <f t="shared" si="1"/>
        <v>0</v>
      </c>
      <c r="H51" s="36" t="str">
        <f t="shared" si="2"/>
        <v>PAID</v>
      </c>
      <c r="I51" s="36" t="s">
        <v>331</v>
      </c>
      <c r="J51" s="38">
        <v>46039.0</v>
      </c>
    </row>
    <row r="52" ht="15.75" customHeight="1">
      <c r="A52" s="36">
        <v>51.0</v>
      </c>
      <c r="B52" s="36" t="s">
        <v>334</v>
      </c>
      <c r="C52" s="36" t="s">
        <v>335</v>
      </c>
      <c r="D52" s="36" t="s">
        <v>615</v>
      </c>
      <c r="E52" s="37">
        <v>1700.0</v>
      </c>
      <c r="F52" s="37">
        <v>1700.0</v>
      </c>
      <c r="G52" s="37">
        <f t="shared" si="1"/>
        <v>0</v>
      </c>
      <c r="H52" s="36" t="str">
        <f t="shared" si="2"/>
        <v>PAID</v>
      </c>
      <c r="I52" s="36" t="s">
        <v>337</v>
      </c>
      <c r="J52" s="38">
        <v>46041.0</v>
      </c>
    </row>
    <row r="53" ht="15.75" customHeight="1">
      <c r="A53" s="36">
        <v>52.0</v>
      </c>
      <c r="B53" s="36" t="s">
        <v>340</v>
      </c>
      <c r="C53" s="36" t="s">
        <v>341</v>
      </c>
      <c r="D53" s="36" t="s">
        <v>615</v>
      </c>
      <c r="E53" s="37">
        <v>1800.0</v>
      </c>
      <c r="F53" s="37">
        <v>1800.0</v>
      </c>
      <c r="G53" s="37">
        <f t="shared" si="1"/>
        <v>0</v>
      </c>
      <c r="H53" s="36" t="str">
        <f t="shared" si="2"/>
        <v>PAID</v>
      </c>
      <c r="I53" s="36" t="s">
        <v>343</v>
      </c>
      <c r="J53" s="38">
        <v>46043.0</v>
      </c>
    </row>
    <row r="54" ht="15.75" customHeight="1">
      <c r="A54" s="36">
        <v>53.0</v>
      </c>
      <c r="B54" s="36" t="s">
        <v>346</v>
      </c>
      <c r="C54" s="36" t="s">
        <v>347</v>
      </c>
      <c r="D54" s="36" t="s">
        <v>615</v>
      </c>
      <c r="E54" s="37">
        <v>1900.0</v>
      </c>
      <c r="F54" s="37">
        <v>1900.0</v>
      </c>
      <c r="G54" s="37">
        <f t="shared" si="1"/>
        <v>0</v>
      </c>
      <c r="H54" s="36" t="str">
        <f t="shared" si="2"/>
        <v>PAID</v>
      </c>
      <c r="I54" s="36" t="s">
        <v>349</v>
      </c>
      <c r="J54" s="38">
        <v>46045.0</v>
      </c>
    </row>
    <row r="55" ht="15.75" customHeight="1">
      <c r="A55" s="36">
        <v>54.0</v>
      </c>
      <c r="B55" s="36" t="s">
        <v>352</v>
      </c>
      <c r="C55" s="36" t="s">
        <v>353</v>
      </c>
      <c r="D55" s="36" t="s">
        <v>615</v>
      </c>
      <c r="E55" s="37">
        <v>2000.0</v>
      </c>
      <c r="F55" s="37">
        <v>2000.0</v>
      </c>
      <c r="G55" s="37">
        <f t="shared" si="1"/>
        <v>0</v>
      </c>
      <c r="H55" s="36" t="str">
        <f t="shared" si="2"/>
        <v>PAID</v>
      </c>
      <c r="I55" s="36" t="s">
        <v>355</v>
      </c>
      <c r="J55" s="38">
        <v>46047.0</v>
      </c>
    </row>
    <row r="56" ht="15.75" customHeight="1">
      <c r="A56" s="36">
        <v>55.0</v>
      </c>
      <c r="B56" s="36" t="s">
        <v>358</v>
      </c>
      <c r="C56" s="36" t="s">
        <v>359</v>
      </c>
      <c r="D56" s="36" t="s">
        <v>615</v>
      </c>
      <c r="E56" s="37">
        <v>2100.0</v>
      </c>
      <c r="F56" s="37">
        <v>2100.0</v>
      </c>
      <c r="G56" s="37">
        <f t="shared" si="1"/>
        <v>0</v>
      </c>
      <c r="H56" s="36" t="str">
        <f t="shared" si="2"/>
        <v>PAID</v>
      </c>
      <c r="I56" s="36" t="s">
        <v>361</v>
      </c>
      <c r="J56" s="38">
        <v>46049.0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H3:H56">
    <cfRule type="expression" dxfId="4" priority="1">
      <formula>H3="PAID"</formula>
    </cfRule>
  </conditionalFormatting>
  <conditionalFormatting sqref="H3:H56">
    <cfRule type="expression" dxfId="5" priority="2">
      <formula>H3="PARTIAL"</formula>
    </cfRule>
  </conditionalFormatting>
  <conditionalFormatting sqref="H3:H56">
    <cfRule type="expression" dxfId="6" priority="3">
      <formula>H3="UNPAID"</formula>
    </cfRule>
  </conditionalFormatting>
  <dataValidations>
    <dataValidation type="list" allowBlank="1" sqref="H3:H56">
      <formula1>Lists!$A$2:$A$5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9" t="s">
        <v>616</v>
      </c>
    </row>
    <row r="2">
      <c r="A2" s="40" t="s">
        <v>617</v>
      </c>
    </row>
    <row r="4">
      <c r="A4" s="41" t="s">
        <v>618</v>
      </c>
      <c r="D4" s="41" t="s">
        <v>619</v>
      </c>
      <c r="G4" s="41" t="s">
        <v>620</v>
      </c>
      <c r="J4" s="42" t="s">
        <v>621</v>
      </c>
    </row>
    <row r="5">
      <c r="A5" s="43">
        <v>55.0</v>
      </c>
      <c r="D5" s="43">
        <v>50.0</v>
      </c>
      <c r="G5" s="43">
        <v>106700.0</v>
      </c>
      <c r="J5" s="43">
        <v>100300.0</v>
      </c>
    </row>
    <row r="6">
      <c r="A6" s="44" t="s">
        <v>622</v>
      </c>
      <c r="D6" s="44" t="s">
        <v>622</v>
      </c>
      <c r="G6" s="44" t="s">
        <v>622</v>
      </c>
      <c r="J6" s="44" t="s">
        <v>622</v>
      </c>
    </row>
    <row r="8">
      <c r="A8" s="41" t="s">
        <v>623</v>
      </c>
      <c r="D8" s="41" t="s">
        <v>624</v>
      </c>
      <c r="G8" s="41" t="s">
        <v>625</v>
      </c>
      <c r="J8" s="41" t="s">
        <v>626</v>
      </c>
    </row>
    <row r="9">
      <c r="A9" s="43">
        <v>6400.0</v>
      </c>
      <c r="D9" s="43">
        <v>38.0</v>
      </c>
      <c r="G9" s="43">
        <v>17.0</v>
      </c>
      <c r="J9" s="43">
        <v>3907500.0</v>
      </c>
    </row>
    <row r="10">
      <c r="A10" s="44" t="s">
        <v>622</v>
      </c>
      <c r="D10" s="44" t="s">
        <v>622</v>
      </c>
      <c r="G10" s="44" t="s">
        <v>622</v>
      </c>
      <c r="J10" s="44" t="s">
        <v>622</v>
      </c>
    </row>
    <row r="12">
      <c r="A12" s="45" t="s">
        <v>627</v>
      </c>
      <c r="H12" s="46" t="s">
        <v>17</v>
      </c>
      <c r="I12" s="46" t="s">
        <v>628</v>
      </c>
      <c r="K12" s="47" t="s">
        <v>599</v>
      </c>
      <c r="L12" s="47" t="s">
        <v>628</v>
      </c>
    </row>
    <row r="13">
      <c r="A13" s="48" t="s">
        <v>629</v>
      </c>
      <c r="B13" s="48" t="s">
        <v>630</v>
      </c>
      <c r="H13" s="49" t="s">
        <v>631</v>
      </c>
      <c r="I13" s="50">
        <v>42.0</v>
      </c>
      <c r="K13" s="49" t="s">
        <v>390</v>
      </c>
      <c r="L13" s="50">
        <v>38.0</v>
      </c>
    </row>
    <row r="14">
      <c r="A14" s="51" t="s">
        <v>632</v>
      </c>
      <c r="B14" s="52">
        <v>42.0</v>
      </c>
      <c r="H14" s="49" t="s">
        <v>633</v>
      </c>
      <c r="I14" s="50">
        <v>13.0</v>
      </c>
      <c r="K14" s="49" t="s">
        <v>379</v>
      </c>
      <c r="L14" s="50">
        <v>17.0</v>
      </c>
    </row>
    <row r="15">
      <c r="A15" s="51" t="s">
        <v>634</v>
      </c>
      <c r="B15" s="52">
        <v>13.0</v>
      </c>
      <c r="H15" s="49" t="s">
        <v>635</v>
      </c>
      <c r="I15" s="49">
        <f>COUNTIF(#REF!,"UNPAID")</f>
        <v>0</v>
      </c>
      <c r="K15" s="49" t="s">
        <v>384</v>
      </c>
      <c r="L15" s="50">
        <v>11.0</v>
      </c>
    </row>
    <row r="16">
      <c r="A16" s="51" t="s">
        <v>636</v>
      </c>
      <c r="B16" s="52">
        <v>34.0</v>
      </c>
    </row>
    <row r="17">
      <c r="A17" s="51" t="s">
        <v>637</v>
      </c>
      <c r="B17" s="52">
        <v>21.0</v>
      </c>
    </row>
    <row r="18">
      <c r="A18" s="51" t="s">
        <v>638</v>
      </c>
      <c r="B18" s="52">
        <v>15.0</v>
      </c>
    </row>
    <row r="19">
      <c r="A19" s="51" t="s">
        <v>639</v>
      </c>
      <c r="B19" s="52">
        <v>23.0</v>
      </c>
    </row>
    <row r="21">
      <c r="A21" s="53" t="s">
        <v>640</v>
      </c>
    </row>
    <row r="22">
      <c r="A22" s="54" t="s">
        <v>641</v>
      </c>
      <c r="B22" s="55">
        <v>100300.0</v>
      </c>
    </row>
    <row r="23">
      <c r="A23" s="54" t="s">
        <v>16</v>
      </c>
      <c r="B23" s="55">
        <v>6400.0</v>
      </c>
    </row>
    <row r="24">
      <c r="A24" s="54" t="s">
        <v>642</v>
      </c>
      <c r="B24" s="56">
        <f>B22/(B22+B23)</f>
        <v>0.9400187441</v>
      </c>
    </row>
    <row r="33">
      <c r="H33" s="46" t="s">
        <v>643</v>
      </c>
      <c r="I33" s="46" t="s">
        <v>630</v>
      </c>
    </row>
    <row r="34">
      <c r="H34" s="6" t="s">
        <v>641</v>
      </c>
      <c r="I34" s="57" t="s">
        <v>644</v>
      </c>
    </row>
    <row r="35">
      <c r="H35" s="6" t="s">
        <v>16</v>
      </c>
      <c r="I35" s="58">
        <v>6400.0</v>
      </c>
    </row>
  </sheetData>
  <mergeCells count="28">
    <mergeCell ref="D5:F5"/>
    <mergeCell ref="G5:I5"/>
    <mergeCell ref="A1:L1"/>
    <mergeCell ref="A2:L2"/>
    <mergeCell ref="A4:C4"/>
    <mergeCell ref="D4:F4"/>
    <mergeCell ref="G4:I4"/>
    <mergeCell ref="J4:L4"/>
    <mergeCell ref="J5:L5"/>
    <mergeCell ref="G8:I8"/>
    <mergeCell ref="J8:L8"/>
    <mergeCell ref="A5:C5"/>
    <mergeCell ref="A6:C6"/>
    <mergeCell ref="D6:F6"/>
    <mergeCell ref="G6:I6"/>
    <mergeCell ref="J6:L6"/>
    <mergeCell ref="A8:C8"/>
    <mergeCell ref="D8:F8"/>
    <mergeCell ref="D10:F10"/>
    <mergeCell ref="A12:F12"/>
    <mergeCell ref="A21:D21"/>
    <mergeCell ref="A9:C9"/>
    <mergeCell ref="D9:F9"/>
    <mergeCell ref="G9:I9"/>
    <mergeCell ref="J9:L9"/>
    <mergeCell ref="A10:C10"/>
    <mergeCell ref="G10:I10"/>
    <mergeCell ref="J10:L10"/>
  </mergeCells>
  <drawing r:id="rId1"/>
</worksheet>
</file>